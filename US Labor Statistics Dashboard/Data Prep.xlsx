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publishItems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4BCBC52-4934-4E12-B107-28B4FEC21DEC}" xr6:coauthVersionLast="47" xr6:coauthVersionMax="47" xr10:uidLastSave="{00000000-0000-0000-0000-000000000000}"/>
  <bookViews>
    <workbookView xWindow="-108" yWindow="-108" windowWidth="23256" windowHeight="12576" activeTab="3" xr2:uid="{DB438AB8-0F60-4224-9C67-97043B861F24}"/>
  </bookViews>
  <sheets>
    <sheet name="Population" sheetId="3" r:id="rId1"/>
    <sheet name="Data" sheetId="1" r:id="rId2"/>
    <sheet name="Data Prep" sheetId="2" r:id="rId3"/>
    <sheet name="Dashboard" sheetId="4" r:id="rId4"/>
  </sheets>
  <definedNames>
    <definedName name="_xlnm._FilterDatabase" localSheetId="1" hidden="1">Data!$A$1:$F$1919</definedName>
    <definedName name="_xlnm._FilterDatabase" localSheetId="2" hidden="1">'Data Prep'!$A$2:$A$12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1" hidden="1">Data!$A$1:$F$1919</definedName>
    <definedName name="Z_A1F01C08_243B_48FC_94A8_F102AEB1706D_.wvu.FilterData" localSheetId="1" hidden="1">Data!$A$1:$F$1919</definedName>
  </definedNames>
  <calcPr calcId="191029"/>
  <customWorkbookViews>
    <customWorkbookView name="ShowAllWorksheets" guid="{A1F01C08-243B-48FC-94A8-F102AEB1706D}" maximized="1" xWindow="-8" yWindow="-8" windowWidth="1936" windowHeight="1056" activeSheetId="8" showFormulaBar="0"/>
    <customWorkbookView name="Dashboard" guid="{948164EF-B902-4A6C-8E3C-A935061C5153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T2" i="2" s="1"/>
  <c r="B6" i="4"/>
  <c r="B3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3" i="2"/>
  <c r="I9" i="2"/>
  <c r="I4" i="2"/>
  <c r="I8" i="2"/>
  <c r="I11" i="2"/>
  <c r="I6" i="2"/>
  <c r="I7" i="2"/>
  <c r="I12" i="2"/>
  <c r="I10" i="2"/>
  <c r="I3" i="2"/>
  <c r="I5" i="2"/>
  <c r="E4" i="2"/>
  <c r="E5" i="2"/>
  <c r="E6" i="2"/>
  <c r="E7" i="2"/>
  <c r="E8" i="2"/>
  <c r="E9" i="2"/>
  <c r="E10" i="2"/>
  <c r="E11" i="2"/>
  <c r="E12" i="2"/>
  <c r="E3" i="2"/>
  <c r="S11" i="2" l="1"/>
  <c r="F11" i="2"/>
  <c r="F4" i="2"/>
  <c r="F12" i="2"/>
  <c r="F5" i="2"/>
  <c r="F3" i="2"/>
  <c r="F7" i="2"/>
  <c r="F8" i="2"/>
  <c r="F9" i="2"/>
  <c r="F10" i="2"/>
  <c r="F6" i="2"/>
  <c r="L5" i="2"/>
  <c r="P49" i="2"/>
  <c r="R49" i="2" s="1"/>
  <c r="P41" i="2"/>
  <c r="R41" i="2" s="1"/>
  <c r="P33" i="2"/>
  <c r="R33" i="2" s="1"/>
  <c r="P25" i="2"/>
  <c r="R25" i="2" s="1"/>
  <c r="P17" i="2"/>
  <c r="R17" i="2" s="1"/>
  <c r="P9" i="2"/>
  <c r="R9" i="2" s="1"/>
  <c r="S49" i="2"/>
  <c r="S41" i="2"/>
  <c r="S33" i="2"/>
  <c r="S25" i="2"/>
  <c r="S17" i="2"/>
  <c r="S9" i="2"/>
  <c r="P26" i="2"/>
  <c r="R26" i="2" s="1"/>
  <c r="S50" i="2"/>
  <c r="P48" i="2"/>
  <c r="R48" i="2" s="1"/>
  <c r="P24" i="2"/>
  <c r="R24" i="2" s="1"/>
  <c r="S40" i="2"/>
  <c r="S32" i="2"/>
  <c r="S8" i="2"/>
  <c r="P42" i="2"/>
  <c r="R42" i="2" s="1"/>
  <c r="S26" i="2"/>
  <c r="P32" i="2"/>
  <c r="R32" i="2" s="1"/>
  <c r="P8" i="2"/>
  <c r="R8" i="2" s="1"/>
  <c r="S48" i="2"/>
  <c r="S16" i="2"/>
  <c r="M3" i="2"/>
  <c r="P47" i="2"/>
  <c r="R47" i="2" s="1"/>
  <c r="P39" i="2"/>
  <c r="R39" i="2" s="1"/>
  <c r="P31" i="2"/>
  <c r="R31" i="2" s="1"/>
  <c r="P23" i="2"/>
  <c r="R23" i="2" s="1"/>
  <c r="P15" i="2"/>
  <c r="R15" i="2" s="1"/>
  <c r="P7" i="2"/>
  <c r="R7" i="2" s="1"/>
  <c r="S47" i="2"/>
  <c r="S39" i="2"/>
  <c r="S31" i="2"/>
  <c r="S23" i="2"/>
  <c r="S15" i="2"/>
  <c r="S7" i="2"/>
  <c r="P50" i="2"/>
  <c r="R50" i="2" s="1"/>
  <c r="S42" i="2"/>
  <c r="P40" i="2"/>
  <c r="R40" i="2" s="1"/>
  <c r="T40" i="2" s="1"/>
  <c r="P16" i="2"/>
  <c r="R16" i="2" s="1"/>
  <c r="S24" i="2"/>
  <c r="M6" i="2"/>
  <c r="P46" i="2"/>
  <c r="R46" i="2" s="1"/>
  <c r="P38" i="2"/>
  <c r="R38" i="2" s="1"/>
  <c r="P30" i="2"/>
  <c r="R30" i="2" s="1"/>
  <c r="P22" i="2"/>
  <c r="R22" i="2" s="1"/>
  <c r="P14" i="2"/>
  <c r="R14" i="2" s="1"/>
  <c r="P6" i="2"/>
  <c r="R6" i="2" s="1"/>
  <c r="S46" i="2"/>
  <c r="S38" i="2"/>
  <c r="S30" i="2"/>
  <c r="S22" i="2"/>
  <c r="S14" i="2"/>
  <c r="S6" i="2"/>
  <c r="L6" i="2"/>
  <c r="P10" i="2"/>
  <c r="R10" i="2" s="1"/>
  <c r="S10" i="2"/>
  <c r="P45" i="2"/>
  <c r="R45" i="2" s="1"/>
  <c r="P21" i="2"/>
  <c r="R21" i="2" s="1"/>
  <c r="P5" i="2"/>
  <c r="R5" i="2" s="1"/>
  <c r="S37" i="2"/>
  <c r="S29" i="2"/>
  <c r="S21" i="2"/>
  <c r="S13" i="2"/>
  <c r="S5" i="2"/>
  <c r="P18" i="2"/>
  <c r="R18" i="2" s="1"/>
  <c r="S18" i="2"/>
  <c r="M5" i="2"/>
  <c r="P29" i="2"/>
  <c r="R29" i="2" s="1"/>
  <c r="S45" i="2"/>
  <c r="H16" i="2"/>
  <c r="M4" i="2"/>
  <c r="P44" i="2"/>
  <c r="R44" i="2" s="1"/>
  <c r="P36" i="2"/>
  <c r="R36" i="2" s="1"/>
  <c r="P28" i="2"/>
  <c r="R28" i="2" s="1"/>
  <c r="P20" i="2"/>
  <c r="R20" i="2" s="1"/>
  <c r="P12" i="2"/>
  <c r="R12" i="2" s="1"/>
  <c r="P4" i="2"/>
  <c r="R4" i="2" s="1"/>
  <c r="S44" i="2"/>
  <c r="S36" i="2"/>
  <c r="S28" i="2"/>
  <c r="S20" i="2"/>
  <c r="S12" i="2"/>
  <c r="S4" i="2"/>
  <c r="P34" i="2"/>
  <c r="R34" i="2" s="1"/>
  <c r="S34" i="2"/>
  <c r="L4" i="2"/>
  <c r="I16" i="2"/>
  <c r="P37" i="2"/>
  <c r="R37" i="2" s="1"/>
  <c r="P13" i="2"/>
  <c r="R13" i="2" s="1"/>
  <c r="L3" i="2"/>
  <c r="P3" i="2"/>
  <c r="R3" i="2" s="1"/>
  <c r="P43" i="2"/>
  <c r="R43" i="2" s="1"/>
  <c r="P35" i="2"/>
  <c r="R35" i="2" s="1"/>
  <c r="P27" i="2"/>
  <c r="R27" i="2" s="1"/>
  <c r="P19" i="2"/>
  <c r="R19" i="2" s="1"/>
  <c r="P11" i="2"/>
  <c r="R11" i="2" s="1"/>
  <c r="T11" i="2" s="1"/>
  <c r="S3" i="2"/>
  <c r="S43" i="2"/>
  <c r="S35" i="2"/>
  <c r="S27" i="2"/>
  <c r="S19" i="2"/>
  <c r="T16" i="2" l="1"/>
  <c r="T13" i="2"/>
  <c r="I17" i="2"/>
  <c r="I19" i="2" s="1"/>
  <c r="T43" i="2"/>
  <c r="T32" i="2"/>
  <c r="T34" i="2"/>
  <c r="T29" i="2"/>
  <c r="T8" i="2"/>
  <c r="T12" i="2"/>
  <c r="T44" i="2"/>
  <c r="T50" i="2"/>
  <c r="T36" i="2"/>
  <c r="T18" i="2"/>
  <c r="T45" i="2"/>
  <c r="T39" i="2"/>
  <c r="T42" i="2"/>
  <c r="T25" i="2"/>
  <c r="T37" i="2"/>
  <c r="T30" i="2"/>
  <c r="T15" i="2"/>
  <c r="T48" i="2"/>
  <c r="T3" i="2"/>
  <c r="T20" i="2"/>
  <c r="T5" i="2"/>
  <c r="T38" i="2"/>
  <c r="T23" i="2"/>
  <c r="T9" i="2"/>
  <c r="T28" i="2"/>
  <c r="T21" i="2"/>
  <c r="T46" i="2"/>
  <c r="T31" i="2"/>
  <c r="T26" i="2"/>
  <c r="T17" i="2"/>
  <c r="T47" i="2"/>
  <c r="T33" i="2"/>
  <c r="T19" i="2"/>
  <c r="T10" i="2"/>
  <c r="T6" i="2"/>
  <c r="T41" i="2"/>
  <c r="T27" i="2"/>
  <c r="T14" i="2"/>
  <c r="T49" i="2"/>
  <c r="T35" i="2"/>
  <c r="T4" i="2"/>
  <c r="T22" i="2"/>
  <c r="T7" i="2"/>
  <c r="T24" i="2"/>
</calcChain>
</file>

<file path=xl/sharedStrings.xml><?xml version="1.0" encoding="utf-8"?>
<sst xmlns="http://schemas.openxmlformats.org/spreadsheetml/2006/main" count="3999" uniqueCount="82">
  <si>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</si>
  <si>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</si>
  <si>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</si>
  <si>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</si>
  <si>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</si>
  <si>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</si>
  <si>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</si>
  <si>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</si>
  <si>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</si>
  <si>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</si>
  <si>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</si>
  <si>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</si>
  <si>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</si>
  <si>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</si>
  <si>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</si>
  <si>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</si>
  <si>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</si>
  <si>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</si>
  <si>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</si>
  <si>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</si>
  <si>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</si>
  <si>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</si>
  <si>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</si>
  <si>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</si>
  <si>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</si>
  <si>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</si>
  <si>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</si>
  <si>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</si>
  <si>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</si>
  <si>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</si>
  <si>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</si>
  <si>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</si>
  <si>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</si>
  <si>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</si>
  <si>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</si>
  <si>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</si>
  <si>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</si>
  <si>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</si>
  <si>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</si>
  <si>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</si>
  <si>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</si>
  <si>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</si>
  <si>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</si>
  <si>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</si>
  <si>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</si>
  <si>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</si>
  <si>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</si>
  <si>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</si>
  <si>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</si>
  <si>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</si>
  <si>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</si>
  <si>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</si>
  <si>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</si>
  <si>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</si>
  <si>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</si>
  <si>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</si>
  <si>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</si>
  <si>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</si>
  <si>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</si>
  <si>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</si>
  <si>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</si>
  <si>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</si>
  <si>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</si>
  <si>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</si>
  <si>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</si>
  <si>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</si>
  <si>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</si>
  <si>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</si>
  <si>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 BY INDUSTRY</t>
  </si>
  <si>
    <t>EMPLOYEES BY INDUSTRY</t>
  </si>
  <si>
    <t>EMPLOYEES BY INDUSTRY (CLEANED)</t>
  </si>
  <si>
    <t>Others</t>
  </si>
  <si>
    <t>WAGE EMPLOYEE TRENDS</t>
  </si>
  <si>
    <t>Avg Wage</t>
  </si>
  <si>
    <t>COMPARISONS BY STATE</t>
  </si>
  <si>
    <t>Population</t>
  </si>
  <si>
    <t xml:space="preserve">Population </t>
  </si>
  <si>
    <t>Employees per 1000 Capita</t>
  </si>
  <si>
    <t>MAP FILTER</t>
  </si>
  <si>
    <t>Metric:</t>
  </si>
  <si>
    <t xml:space="preserve">Average Wages 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</si>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</sst>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"/>
    <numFmt numFmtId="165" formatCode="[$$-409]#,##0"/>
    <numFmt numFmtId="166" formatCode="#,##0;\$#,##0"/>
    <numFmt numFmtId="167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3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1" fillId="5" borderId="0" xfId="0" applyFont="1" applyFill="1"/>
    <xf numFmtId="0" fontId="1" fillId="2" borderId="0" xfId="0" applyFont="1" applyFill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6" borderId="0" xfId="0" applyFont="1" applyFill="1" applyAlignment="1">
      <alignment horizontal="center" vertical="center"/>
    </xf>
    <xf numFmtId="9" fontId="0" fillId="0" borderId="0" xfId="1" applyFont="1" applyAlignment="1">
      <alignment horizontal="left"/>
    </xf>
    <xf numFmtId="167" fontId="0" fillId="0" borderId="0" xfId="0" applyNumberFormat="1" applyAlignment="1" applyProtection="1">
      <alignment horizontal="left" vertical="top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ercent" xfId="1" builtinId="5"/>
  </cellStyles>
  <dxfs count="4">
    <dxf>
      <numFmt numFmtId="164" formatCode="&quot;$&quot;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1" defaultTableStyle="TableStyleMedium2" defaultPivotStyle="PivotStyleLight16">
    <tableStyle name="Invisible" pivot="0" table="0" count="0" xr9:uid="{E52AE7AB-C54B-4E58-A78E-4A239D61FC59}"/>
  </tableStyles>
  <colors>
    <mruColors>
      <color rgb="FF269999"/>
      <color rgb="FFFF5050"/>
      <color rgb="FFFF7453"/>
      <color rgb="FFB2DBD5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946300977769E-2"/>
          <c:y val="0.1136490110867289"/>
          <c:w val="0.44631165506206616"/>
          <c:h val="0.82433486797756839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5050"/>
            </a:solidFill>
          </c:spPr>
          <c:dPt>
            <c:idx val="0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9-49FE-8E7F-14D6944BF053}"/>
              </c:ext>
            </c:extLst>
          </c:dPt>
          <c:dPt>
            <c:idx val="1"/>
            <c:bubble3D val="0"/>
            <c:explosion val="2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9-49FE-8E7F-14D6944BF053}"/>
              </c:ext>
            </c:extLst>
          </c:dPt>
          <c:cat>
            <c:strRef>
              <c:f>'Data Prep'!$H$16:$H$17</c:f>
              <c:strCache>
                <c:ptCount val="2"/>
                <c:pt idx="0">
                  <c:v>Business Services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20065896</c:v>
                </c:pt>
                <c:pt idx="1">
                  <c:v>96583443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9-49FE-8E7F-14D6944BF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123-A892-8E0834D7F0A7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269999"/>
            </a:solidFill>
            <a:ln>
              <a:noFill/>
            </a:ln>
            <a:effectLst/>
          </c:spPr>
          <c:invertIfNegative val="0"/>
          <c:dLbls>
            <c:dLbl>
              <c:idx val="8"/>
              <c:tx>
                <c:rich>
                  <a:bodyPr/>
                  <a:lstStyle/>
                  <a:p>
                    <a:fld id="{C8FBA620-0D02-46F9-9380-420B5FF6159C}" type="VALUE">
                      <a:rPr lang="en-US" sz="1050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21B-4123-A892-8E0834D7F0A7}"/>
                </c:ext>
              </c:extLst>
            </c:dLbl>
            <c:numFmt formatCode="\$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74713.0625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B-4123-A892-8E0834D7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80636960"/>
        <c:axId val="180633600"/>
      </c:barChart>
      <c:catAx>
        <c:axId val="180636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3600"/>
        <c:crosses val="autoZero"/>
        <c:auto val="1"/>
        <c:lblAlgn val="ctr"/>
        <c:lblOffset val="100"/>
        <c:noMultiLvlLbl val="0"/>
      </c:catAx>
      <c:valAx>
        <c:axId val="180633600"/>
        <c:scaling>
          <c:orientation val="minMax"/>
        </c:scaling>
        <c:delete val="0"/>
        <c:axPos val="t"/>
        <c:numFmt formatCode="[$$-409]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20063464</c:v>
                </c:pt>
                <c:pt idx="1">
                  <c:v>20594171</c:v>
                </c:pt>
                <c:pt idx="2">
                  <c:v>20961286</c:v>
                </c:pt>
                <c:pt idx="3">
                  <c:v>20065896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1-4758-A5B3-ACD1C64EC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891289328"/>
        <c:axId val="891275408"/>
      </c:barChart>
      <c:catAx>
        <c:axId val="8912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75408"/>
        <c:crosses val="autoZero"/>
        <c:auto val="1"/>
        <c:lblAlgn val="ctr"/>
        <c:lblOffset val="100"/>
        <c:noMultiLvlLbl val="0"/>
      </c:catAx>
      <c:valAx>
        <c:axId val="891275408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Employees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rgbClr val="269999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rgbClr val="269999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8197278911564752E-2"/>
                  <c:y val="-9.0560725363874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23-49C7-99CE-809F2A531A48}"/>
                </c:ext>
              </c:extLst>
            </c:dLbl>
            <c:numFmt formatCode="\$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64714.4375</c:v>
                </c:pt>
                <c:pt idx="1">
                  <c:v>66836.25</c:v>
                </c:pt>
                <c:pt idx="2">
                  <c:v>69592.166666666672</c:v>
                </c:pt>
                <c:pt idx="3">
                  <c:v>74713.0625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6-4CE0-8233-C7BF108D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89328"/>
        <c:axId val="891275408"/>
      </c:lineChart>
      <c:catAx>
        <c:axId val="891289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1275408"/>
        <c:crosses val="autoZero"/>
        <c:auto val="1"/>
        <c:lblAlgn val="ctr"/>
        <c:lblOffset val="100"/>
        <c:noMultiLvlLbl val="0"/>
      </c:catAx>
      <c:valAx>
        <c:axId val="891275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Wages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7918A051-7771-4B4A-8763-4981C4D6F44F}">
          <cx:tx>
            <cx:txData>
              <cx:f>_xlchart.v5.2</cx:f>
              <cx:v>Average Wages </cx:v>
            </cx:txData>
          </cx:tx>
          <cx:spPr>
            <a:solidFill>
              <a:schemeClr val="bg1"/>
            </a:solidFill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7H1pb9xIsu1fMfz5UZ07MwfTAzRZu1TaLVvzhShLMpnckvv262+UVZIldtnWYHRxUcBTd8MtVaUq
yMOIOHEiMv3Pu+4fd/HDpvjQJXFa/uOu+/NjUFXZP/74o7wLHpJNeZTou8KU5lt1dGeSP8y3b/ru
4Y/7YtPq1P+DIMz+uAs2RfXQffzXP+G3+Q/mxNxtKm3Si/qh6C8fyjquyl+8tvelD5v7RKcTXVaF
vqvwnx//ijdfN8nm44eHtNJVf91nD39+fPWmjx/+GP+qv33shxgsq+p7WEvJkS0EI4TYHz/EJvV3
P7ekOJIMUUoQUY9fTx96uklg4Rss+W7H5v6+eChLuJLvf75Y+Mps+PnJxw93pk6r7d3y4cb9+fFT
qquH+w9X1aZ6KD9+0KVxH9/gmq3tn66+X+wfr+/3v/45+gFc/ugnLyAZ36vfvfQ3RNabstzcBXX5
UFVg43vhwsgRtgm1kUKPd1++hsfGRwJxwEcCbo8f+ojLm+3Zj85o+Qij9V8HidEsNoW+f0evIfKI
K86xwDvfUK/RkeSISZsyIin6/kVfg/QGg/bD87xwBMzsMJ3nRhe+TvU7IkPtI46JVFTY+/1GHgkl
EVdo9/oImbdYtB+aHytH2NwcptP8VejBpO8JDTsiihIiMXuEZpRxMIaYJhhXgovvToNfO80bDNqP
zPPCETB//fsgo9mpKargw2QTmeod0WH2EWOCIonpLqa9DmkYoSMmtvg9xbzX6LzVqv0QvV49wul0
cpA4uSZNH+4qfVdXT7fqv+drDB9xm2NOKX/MLOAkL2mbDXyOSvAxwp8+9JEXvNGa/fC8WjxCx70+
SHQmD/Gm3RQPT3fpv4eGqiOEpC0I5Xs9yObgQFIwiuXj6yOE3mLRfnh+rBxhM5keJDafH8rqw498
+l6cmkLuZ4Tb4Bx7E5BERwJTmyoEwW77NeIGbzZrP0qj5SOoPt8cJFSPgdvdFCbW70oW+BGnitqc
7uqfEVmw1RGWnEohHrkCEk+O/Bju3m7XfrDG60donbqHidbD12JTRu9JGyAfERu8xt7hQF7nI6WO
JEY2gaD46FNjnN5g0U8Qel45xuYwg55roErd3Jun5/gdEpI8Ukpyjhh5vPcjroAROBmzJRWjQPcW
U/aD8mPlCBT37CAd5q8i2qTlpnxHUNgRpH+JKN6xhJGwo0A6oApzzuUjaCOW8BaL9mPzY+UIm78u
DxIbdxPrb6Z4b/mAcCaEwmq/y2AFHMGGiMd2ZdDTk7Fj2W+yaT8+L69nhJD710EiNH8woO+8Y7YB
tVowqG6Y2jG0UUSTFIpYRm2Gds4zCmxvMGg/Ns8LR8DMDxOYpWnfERXQqpHNBLcZe3QauOsva1JF
j7bJX2C0e33EAX5nzX5IHleN8FgeKB73m+AdEz9jR1SCwkmegtQox2DMjgQHdg1C6Ov4tfydIT/B
4nHZGIzD1G1OH5rNezYLQBegXDD2XMr8DQ0BaEAtY8vHqAVB7WVH5/f27Aflad0IldPDLDSXMRSY
Rr8jE2PoCIOHAP3d6dHjJg6UmEwKyuUPPeclLm+xaD8yP1aOsFkeZhtnmd7rzbtW/+oIGJhi8okE
jzIKNKdB4oQODrSnv3+Nw9jvDfoJMk8Lx8CcHgQB+3X//KWO9uqd/+nMgIJ8TiHdQ3v6+9cIHaj5
0datqNo5Fnsd0EZt/Z+btR+j0fJXV3IYMwOfqk3wdEveocyH/AKTAiA87ySWkQTzva9mSxjxECPi
9Ts7fnL/v1s/cpBPh9kFOH7v6l5C45/ZRNk714Bc/ooKS2Bm4BzgPs8S9Muc8nt79mPytG6EyvHV
QYStV1bDlNMx3JL6Lurf0UdgLIDYRAq+k/5HHExySCi2bVO8G9gYJZS3WPQTZJ6v5dVVwkXeHiQ2
nzdlADNvlUnfD51t7xljyChyN5QxEvsxQUccKLRE7LHuHzHkt9m0H5+Xa0cIfT7MYnKt7wLtb94T
H9AsbWYr6Jw9Rq2/e48NfRoAb/f6KM+8xaL96PxYOcJmvTxI7zkxtS7fmSujIwUtFiSeh9FGKQeD
4Iwh/ctdJ23Ext5k0n50XiwdwXNyoK6z0enDO8Y1fkRBTIbK/0e2f8kGhDoiMEPIQD179KsRNOvf
mbMflt2yESTr6UF6zPVD967tFwxDGFQyifcryFC7UBh6Bv72gyi8JGi/NWc/JLtlI0iuvxwkJOtN
0ceb9P79HAUmMxTwM3CT17HLFkc2gmmN50oSKs2XaLzFkv2A/Fg5wmQ9OUxMNAyble87ESggeikM
3chdM2Vcy7AjrGDAGUYCR6i8xZafwPJj6RiXw1BgXlkNpcz1wxaX8uEdswrlsDMDohPaycVoVO+D
OEYZJds25aM8M2LLbzJpPzwvlr66ULjOw4Rnrcty+2+W6adn+B0EGZjBJDAJ+Kwbj6KahB4yFwTG
MnYA/Y0uv8mo/RC9uqIRSOvDlAO2l2Tq4j0RAhlG2CAu7+rJsQtthzBADLDx07DzSA54i0U/h+fx
WsbYHOaAzFkUQ+vyXXekwVCSpDCLvlMz0TjtgJSDtvtq7J1YAN71khO8xaL92PxYOcLm7PgwOYFJ
q3dty4BOAzvOOFYwYLFP+McIIhuD/TeCjiuZ35uyH5P108IRJOvrg4Tk9KH9sNgkGWho7zl6zuiR
kBwEgKcpy1FHBnYL8m2DADYTPgI3YmxvNms/SKPlI6hOFwcJ1ZWpYZvN/8JkMz1SCAoa8lSBjrCC
KXSpYIAJ2jaPosCIHbzdrv1gjdeP0LpyDxKt7SO4eijKh/4pG/z3PG47IACbARSnO61gRLRtmKIB
kge7vx+BUqOg9zab9qP0cu0IodPVQSL0WZd3Ji31++rS0GQGfMRO2vw70bZBy+Ew6vScr15ShTeZ
tB+fF0tH8HxeHiQ82wdu/dDpu3ecQ6PsCMIc0Gi22xwwCnUYiSMMXA5K2VGN+jZr9kPzcu0Im9P1
wWJza4roHUMbOQJRjbDt+Q77mBzsVYMCFQGl2CnToyS0vce/s+jn6DyuHGNze5DYPKbTd9+NC55D
4eYDa3vMLeOOKOzGJRSBPCdGSeet9uxH5/XqEUJXk4NE6CzQ7xjTgBQw2J0BNdD+gzng6Ad4BXYR
sh/DUS9zzu+s2Y/L46oRHmeHSazPigf/XacHgFDDRkCY1BQ7Hva6ifA4PQAtUtjr9BRBH3dr/N6S
n6Cxu4IxHpcH6R/nIFGXfdxs3nUnDfiJVLCRZtc7QGMZx7aPJJVyOyj1iBrMFLz0k7datR+h16tH
OJ3/dZA4XQZw6tGHZfm+rTc4UEAQCSR5tyldAQ4ve9Rb6QBDp2F7MMf3L+BwL3F6q1X7cXq9eoTT
5WEy6c+9gUO7/Kfb9A51KJA1pQTsod3JbqM6FPbXwngUhh0GaOdLT5/9GObeYNB+dJ4XjoD5fJhU
7eahSEBOfLo57wAMg41PnMA/o8IGTuEQgggloLb5/jXqH7zBkv2IPC8cIXJz/X8T0n5+sNrzoXOT
TbWZfj+t7sXZar9+9fu1wxF6o6W7uLMXt8eQtLz/8yOB1hrA8XwK3vaXvIpY53vy3YuFD5uy+vOj
tRV31HaTgYChRLk9UeXjhxbOpYCXQKED/gfyHNliDOoQ+GO6PZTnz4+wFe477AgRCmrs94GGcisk
wkl76sjGnAgbb4/YgWFG9nxU4LmJe6BEzzdl9/2HtE7OjU6rEq5KoI8fssf3bY3lcL4Y7HSE2hoR
ZmMs4Nd9yO42lxB54O34/8UJLYckQ/2C22nUT2psNJ7wuKWnxOuMmioSYuomiS6SWVuJXDmkLIol
kwaj2ZAXbegGMbKUm5dVzCeB4sJyysivJ4W6y5rKO2uF6I+THqMJ03WHnSGRHDuJVZbTEPdsMoiY
ZI5FS2xN7aHPKocEHibTIgyGuYWJuSnKvlj1YR6cYjhscGpbw/DJIxbVDovtYFoolIVTaC/lV35U
dOkC5SqXE9whezOEVKRuhE0QOgaoX+ugTEWTpO68SR2kC20P+sHC2L9rB0uvO1jzhfcmrCfKUuwk
SGIvdLBdotqBEz/K2Km5T6bGavm5kn583FAVnmkTVOumLa059sLB9ZDHYsdUTTeVrRfNQtsPG5fD
TXG7rq0dqxClEyeJ6hyVechpYk4/yQJuM7bsCD6CBGiVCr+eprZgC0Jyf0oU3HmmGV61g0rOK4uK
WSWG5AINsTkPa1mcBR70+50GRemK2yRzQzl4btQG9owogiq3kMk6tbGPpr0t2sApomwI3ZSjz9i2
q5PasC8l96srXJapnMvCU/GEWKGfOUkto3la1PSmiyMyC2sq50nmh53bDJ63ZibSk56iyIW4Oaw5
b8pLWxgZToXw+IpaLfpWWiKdsgRf2s15ouJ0UrYsnzMfnbO61sYtDaGn2CrrW9xn/qciod1ZU4bc
VYmYWqWsXJ5ElmMHVTKnaRevVFx4JyoL0wuOKraOGPmsWyYmkUHRpBd1P0tz37vqa55PhcWTRYsS
FxlcuVEUhpdenaOz2irtidexdukLM49CKqcJa1s3qJGZeAPkZ0c1xluEyuOzWiTRN9W2d9hT1sww
5hknqGJ8CQ+575Rdly/LASfOECs6hUNH2klECZuIlF8YeNpc2Id0bJAXOInMxcQKyi9DorkzdLY1
C2AMw+G9BCvLgLt+7XsOrrFexU1gfYEes7/M4iC/5HGWrXugWCtblvkktIJ+WuCucWNWBKe0yeG5
gce2dTrRk3nWB55Tp4GehIh5kZuJmk8l5t1l31bcaXzNjD8XLOl9/El6cadnpcItzRyOBybqSdgG
fiAvW9HFInN7S8n6ipCIt1e8hGMlmcPzKMA3mMGzMEU81MeiQPZFJQMv+NyxIamcGocxnaXKWNqJ
he7h8xt9qmRPPiuaGeTEIS4at/BoUEwZNhb/0imahsvWkCBzYjOEcDUhGlg6L4xVNFeN1qy9qiJd
88zxfSukpxFFTXgbRVUxpJOhiVJ7cAJeErfPhBomTUk6iGy19v3bBGs/dsMAa8DHMgk8nq3p0bTr
B+wHDtYdXL5se9ufxGEq5TRPaBX5i76S7LY2aVvd2ZHCkbiFe6Tqxonryqx0lVLeOakXVRT+EF60
DJHhVuoEqK686zSqRe+iHMZtXFIVxAPHwh1MWkL62eXGV8H9zmR9of1gdxTs87f/ujYJ/Pt9zY8f
bk+S/fEdzEI/HkH7y3fBTvUt6yvHb9pa8/y7fhyJus2Oz6aO8u3jobU/Sca/fPGNmRrz7eDFzzP1
q1mWFxn+cd0uUUsJGjKD8xjgiBnoTUP2f07UCmqb7b7b74eh7TI0BSr2lJGhvwND7dC9IQxyOcyD
/CcZGQSHUUbeNhqAFmx3vkF/D3Ew5GVG1rbOeZSV0TIJzbC2/WiYWaQktQt5Wk54FaBFlXPsOwRX
PiSnvI+Y0xiSnhhm+k8DhLbcMX5JfMdEoogdhXtTuJFHuvNCs2hi91Z2O2RRMRCnDHU9HHva7iHb
lBmZUlwNa2X7aAFWxp7TB6yLTpsgbR7sUNLazbUeZkUAydAJQXy8zK3edovQ6+aybbvzwQZ7Mxr0
c7th3srwDjxfpF16Amby1PHaNNtQlQ4zGDSPJmlt0WVf9yF2RMCsNFvEEP/r4gp7Q22tZBe02Okt
GJO6b3zqi1mrbIvcoMbz9TSp/a4InSiw+G2AVG8gXreqCo5NRSNJnTbJs/Y8J3YdOLYvW/90UFYg
ZybqsX/Z+kjMUBwlOXO0nyA5I2VTIQjNsO1qidn2nT4OlP2lg1SZzkWOhONbEQRt0QdF5Hq4hDCB
WzlQ6UJIwL6OnUR4yBZOnvpfk6H3zxq7N1MDWVo7pd3nmYP9XH4Z6q6ypiluu2mb5va8FsOkgu8c
g5rijod5c2rLEJVuhHy6iAXFF4MmZtJ6XvOliC+UVPE8KRK0xqWM51LNsqKRodvEIj8uknaWszw7
z4OIwAOT2ciptknW6pV30Yi++xRlPPqCgj5y7DgNXMpr41Y64g9W2oWXsqw6J1ddPkmBBc2CFOtl
BYel3oZAYpw2CMxE20W61CqtVsyLF9Ckji+DOIwumq5KU8e2fNtN2xzoWytWpUmXneqv7bRoCsdS
qvzKDfYukyiwJx2lehn5IpmitkqObRSX0zJjiRsMOv5kGpE6uYWDuQ9k9E74UR47hVeE540l8o3f
YI7dLuvRqerlEDhViK1VGghY1aMUXRRl1s/bPB9uKImvQysjt0L4me8SFt1pyLo3QoJTsZaymRd7
bOlHSeOIvEuWBW0fPK+Um6GL8FRBruqdJvCrTTEAcR10scBBy5woa48bFvCzOCrjGW0GmjjC98yi
8Fm0NKC8rz1j49uO1PIU22nrOaStliqM4mXKeuXWzJTXZW38M9pys4hoQo/boO9OYxkPi8TP+EWW
Bfi0brLwS54G4S0gGs+7rqbHtRniRZ2m2Wk0sPgu8yvhuV7h2ytd0OE851VzklTAhROd4cbxMmlf
9mGVxI5lUQgrtNNr2Rf0Qg1IhE4LLrGIu8KznExqveWg9KyWdXnSFFR/7krUNQ7tW7TOokavqyDK
r+uobq+0FtmKRn46tTqtbg3rw5uiEdVxxY2ypl1thys02AOZ4SRIzjlS3jIbunZeDcifoFDJWZE3
/BtvCiCFtug/dyGJJr6ylmmUJcuKe+sYmXTi1QFyWsW7KU79JVHZcc9R73qKOlnE6vs6bYlDozRe
IL+DTMwzM8G4bOaFToEHB6ibDJ3Iv2Yer49R3upZzHrtipS1F6Hh+WkQyX5hgOpeeH3bf6mNHu64
h5sLuCHeWWey+vNg99htWJtMwE+qiUm6cNHGLJxnLBQ5kGUTfcp0Ec8BdvAWq81nyo6ye2qJaj7I
pCudzkN02omOOXlSVOc2blLiNkkv3JA0gSNLTr4NJFCWg4RXw6Pcm4ki+DrromYdeMk5cE51Sgzx
vxAJ/j9wlc862luNg3qN1kJHaK2qSJ0CxSEXfdfUkCjKXp0Yg+O5iruzOK+z2MHgqKu69qEKYypJ
XK+tuqWOsL/KTJhOfCm0CzcjXdd55SibQqhJ4/TYEjxckZzhK9EnnLiosjy3zEV/F4RtV8BFy0I7
dRmGi7Iv86+RsKcdCqMV5BI19XJD/h3WjV7GJY/nOdP6GhdheenblX1Kqr5zrDofoBDqo/xTmdbq
tOP2sG7KzNpkpkaQ0XB7GWuT+w54j32Stm1/31sm7N3Iz/kiTXm7svykmXslbk6bqqArEpN0JnWe
37Scl+cd771Jz5phTnUXXEBmy26Fqs1XWaX2t15HVeyIqvQdpfz7NurCKdODcrwqm7VG1sd9V/IJ
lNWVaxmw01VWaS0ljoCuohJU8iyROHYb0tLYFYMVruKA5TdenVZTY2dmKXmiPZeLMPqWMpwD827y
z9JPhZgCK0++Ut+X8zTvvHWNPXncyNRy4m4oloGSC1VHJHZ6AvnNiVkVn1YMqbNQJuU6wn01rWVp
VrmxqrVXWWISsoiftrHdOFaT1p8l48IhmWpKt2RWJ52StvVF5pfyZLBU/4BoHdeOqjWkawX3+Dhu
K+s6CLi4zbWB0APEmTmmtMJ0G7Qz4QxQBk4rJM2ZHaX0VCMvhbDU9JNIxj12Qo/LuV3B6erwTLSa
ukRZuZvgwLidseUmQkM2Q5puWF2ateWn/Er6fulg1NGTtlIMwmBPzvt8QK7vpestgKs8png+VLXb
9KmeqDAn61pW4dInhjpFkJpz4xP6yZZVM4UaK57lueFzS4Rp5ihBp1JAcowjXU4sQ7NlP6DywuY+
u6uCIq4cXGXDpG4bdYV5mEExWZIZCgp8zb0wYG5iZew88nKo50jTqYvYT+15Cy1Et0X0RHpFC7An
DK1zhNcVE91KVUROsbbyh6DWpHKsvlULr8rthW2FmVvGZe+mXl+eZ0OcnUd9li/CgJBFR3nqDlxb
bgul/zD3cGF/Bi5ArjvQHnoQJKj9TSZWfZsYyWdelH3heWxPrVBdUFKUIVwfqoB3tLJcEAh5vhNW
YbBqs8JaipSU2oVTmQoPknY+3OmsSHKn1F67InU34QbSWx9JHx5NVs6SMOLnHnDTGdaQrGsRsXDW
ysIOJzQfgH90EIRPqV/nkzIvblJUJGdN27DM9QbE5pDv0lnD6mgSV1Y/szS2F8TE8szGdgdZwda3
QNBE6VqhBALSe4s6Cz3XDyJFHBsXOFry2McuPNnxeWuyJnAL1oXcsZEB+tqU/TSyovZSFEXgtANt
lwL16VkV5S34CRUFPBzKvgfiG0wZi8g8QhBWpE2ATHfAVFOnIqi9alDsf0KRiT8xAhyQ+eXAXO7l
+VkWVep4iASwFZ97S2RndeL4KKTIiQxkMEc23lLXTTFMOp+Gq7BSKnd0g3UNFFOZRZITv3ygSWiX
KnKiqscyc2guT7yGR5OuksWKQ6F/IaySrhkr+lOVF3iiIu27lZ93qyBth6kPxP/LIORxyMS1L6CU
rYk+TTXIajFlqySy8b+1DWIQbMCK3dwTCihZIr7goSHL3rJTp2kDOslB/5hmdNgUQf9V29aFzNjg
qKARk3jAgVPmGrmmSts5ohZzIx67HZQIxzrGyTQO/U8AC53VvWSuKlU9oTGQGyvWZw3TdF1ydotL
5jldU9WOH0XxJIpk4WZJDDcmaRVIYD3U2hQKbmOzdOUHOSgFtZwFftqvpG7Ogp6RG1qkceTKzoB8
I9JiBvtViDtYHehsUU0ng+krx7BkbsuudQYd0tveIt081EPmJkrOQbuxzzoRbPWPNFqn8PhtQPeZ
Ept710lVikVmef2KkxKtQe7Tk8ZvmTvIAtIczN8udWbLWV9Wg5uVHnd7VrdOZir/NLViyOxR2J9x
BBcXyniqB5CnRJ4VlSsyu3ReVK17xFpoob2SakE6hRYBBcmXgpwM9eHrwjDwWB/rWuplmJRQ1lmd
7a2KQUKU5nUkrhhK87sMuFQKKRtEsF9/ONS3f/twgWCrCYXzcmFEePThg04L0Q+ZXuLOFHdDWKQn
mY6DMxmp6PLXH7WVnF9K0nCdcLg1/LetfqXNRx+lcx2KLkjgozKSp1PwkT52UpC+H379OVuB/W8f
xGDTLBT9MDomxPaGv9C+I9P3rIhAXKszr58FsmBLUXdkGsNfKHOeF1GkThoVIA2gJ5vM9qGibgc/
OLO8YFtcewFY92uT/g4xbBilDARXONwDTpIY1f41Au2sgipjmXegpKKk6Oc0bKGCZrHq8QT5QXHX
1Q3gjAsPBjz/v370s7/e6IcOBFO5v2z0jP6Kom3b5HHJk3K0PYpVgnQkQLSBQartGdJPLR44xwV2
/0B7RW430kED/LnFA9vvYO8Jh6YQ2m7uBgHppaBEYKYOJlLhWGo4Iknh/0RQ2uNNsA8GrIBe0tZ7
Rw95CE7ESsqshbIsFjo67IdFrVh5/esnd098gA4XtbfNSrQ9JuC1Lw24LPpmaKwFJEt8HZmkn9Aa
ybOkbazkN4FwGwBGAQIYPkRCQhV0QLZt05d+C1iEQJept+ixUWdIFM1acExXbEDdeSYSHfzmA+FU
3b99JLR3BCiGcJYbjKJux1BefmQXlTzHduEtdF94vgMlTHUCZaJvHGMlhrsShKcbBEENWGLtNxRa
aHHYz4VpSTrPuV+7vIGa0am7VM+zENQDZbbKWK8K9DXtdHGSQw6d556v5u1Q6HkCCj7wwS5d9QVO
LuIoVvPYKqpPuBLpSjVFNrO8RJ96faVPmR/ydEL9NJj3OUqW2gcqlFdlckEsNjwoSIY3QcSKGzvz
16ju9bQF3ceFChAtBkIjoBpESDcIaX1Byjr5NtDBnAGBCj8RpEMnRV4843mQulgnjbvVwRfIeGaS
DzmZywYZp8j7doqDDohWRctjG1fmtMhk61RxRDfAqCyQsdp8MhRWu8j72IbSrVOecKVFzF0pk+QE
2lndhTJDUDtQmkvfKSSboZIUtzqyVAv8KCjsMnfsvvXb8ha2gvO+PAnSLJzZqa1St/XgOXdRYFDm
IJqkX+vCzm7D2pefQxWRS+UjFQBBL9V9KMsMSmJVABlKSG8ixwp1NwMRDfkOzBoHX6MgltzVKYvP
UNzIzBXMNyd23ULtBzLDjeyHGERVXUwIieHZCweoWJgO+Zmm+DLogDt5XdhfBrkS0xKj4jaxTTMz
HapmsoGWFFBOkdwXSRLMgzS464swm/iQfY996LMAXx94kExLuDlB6sXrPE6Gz7Bf17qgqR5O0ODJ
ErpOQIlF2iBrEukQWomWsa6Y0HzpMcQWTZuWUwq17AkK/freL0X1FerDMJ4O/gD9OKvSagW3oJwE
nrjLq9htcVucpjFqnM6O7xEFSgUc/9izQBCMIv+TKi0NDynoT1YmA2ewks4tuzZ1DWHIVZ4Wjp1V
x6FVMOp0ld+7AslwA1soPXiz/W/qAWULjOihJBP5pdfG5EQE5TnvWtB5JTSr4dEG7+k4adY0YgRa
xM1Dl0CPjBdQzkYkHb5WneldQJZ/BT0kOgMVkkyioaouQe+y3LSSl3mu9LTmwxerLqCRPQRkSvqh
PLXsYZi2SrRXaapq18eqmfUJu0jb5LNNPUMWOpJQrziV3wT9XQo6CnG8pq7NRNSgAUDNLTMSOkMZ
NpPITyI+FWRb/fdxLoYT2cZ9t4wV8nvQL/0cIcezLH+4iaDb2UCNQaD89eFGmHxS99DevGZFKH1Q
GnDYyaa9tvsqmKrvsjL/LjFb3lZu5lvlWVUyTedtMwgQpC3my5ndR4QvE9mWaKJjq5ezMiw1qNl+
UomZHwFXuWwiDu+kmW78U5EXIISbpEjbc19YPijkmcjL4Fh5VgPaeem1/JZkQQ2aOko9K5i2RafI
TVi3Fp/lneL2vf1dkA+qoLJWUKNulfoo8dIkn2NVRrcWz6Ir1SR6XqAUwrBJbL5oUBXf2F5vFa5H
idc7bS3oincNtP/aoYGOOLcCNecVpauWePkJ7jq+IImFbKeLet1PkkHhaxIYaHeU+fbHtiegt9vX
7Z0gqSedFKfZjEWULg20MQOnZimID3XMllmJ0pXuWjWtknpI3ST3PHB22ZrjnLEyd+3GxjMsSjOJ
QSSc8kxVbloiKECtPkhcy/PUv7sC/i+vrP9h79u668S1rH+RegACAa+wL77HiWN3kheNOEkhkABJ
SAj49d8k9vlOxTU66fPeL7VHOfYGdFlaa865JsPDNkUQBGQD8fowz6F/v9BU/0ih07jBjbTNSSbp
eK3Xsgd6wBoFdcIagPZEqnynspZ9Vb3B/VE1xyc+5f17EmQua1n0uDfCNP4tI67/KymseqKRW+6V
7EAOFFs/PjS9aHW1dznHCB4SDK3g6iXP/z8W8UXv8+3vr4b8l4Trp2wnReL0P3OIb9wi/509Jvvf
vWaCjP0XMFAKC2sUZ7C8+HcmiKJ0f6EcOlTQWwln+L8lglBGUkiKwfa9vm7plVaMYWZCEyiEyhg+
8SXM4v+TLJDuOdG/c6b9isgAkcHQJMfrtyBE+jWBUTEqtjiA4Sli7nx5THSqiaojPSM3yDKv5deU
2GwC0rVOUOW4ZMnEAnCTR8/NYNOBIMYvMr8qRbb6gyzJYC5C2avpVmW9JivIxiXTz5l03TIeCGOq
o3WT52n8I0fA9h+UwJnytSgyzb+B5DDsDtCF0bQCJz/hVlKdAS4SgFQDkGeVgXSrxpAhMYhBnOGW
m76P1+ukhzzgLzLNAIHqv03p/cto/F0NhZT7lzFCkx4oXDjE7YpjDBdm9u9JXh73rRdMFD94GIfO
XLg+VemFSufJ5hfb1Lg21Fur8T4BFfE24affX/5NPYrXou1mARCF0GLPNXEzv14fWqViYhFrv3ex
pLKt3QiuWgCBTojpTnYJjXUHK1yTioqkZNPDfUjpCqFDnG4s0CvHxACGbhwNtfEdxLpALf8wRr/m
3uhGgK8R7IzxZkT09OzL8td7XERLEmEp+c4gxoiSQ7PlTW5OqkgdULDBOsa+yCziDqrc/7/d/jw3
+3VRqAPbAdkPu5i319V+HfOR0OI7zlY1MeictJo+iZQnA6pysNjtu4HjbbyuAj0JD9M/VADlr0sD
l8+R+OOlAWWaobrJ92H5G1TQZHNLokXQ7yRXuaF1FiKWfcVGIu5y3Npc3bUkHmPkLGb1D3KKIrCR
gI8UBuX3A/FrJYIJgPgPjsYZTCih5c3omwlwrI26VQ78Gy+3IbPn0eier0cUA1O5ntfCLpiV31/y
nw8PFxIGKwVQ8nvP8a4h/NvDixzHTLdG9nvKAnb5aY3ZFktkZMFP6bEteMq+WI9RB3LM0ED+BVzp
bMvj3CITD39YCPGbSIYBKCMkuvtGhT09fFB/vZum3Lqs1I48ozk+78nF4sS+IfplFHjzrw9dCri2
7acVqkKkLxR3lbWR8A+9ZiCIBhLb4aEED2mHg8lGm3zo53aYnn8/Zns8/Vu8hZYSfVVIsrMY79nD
bnkTS3zghY3MtjwvFuxTVEVeRhisaAk0I9Vi6UwedCLNvmlcGPePFunUfzpYkHQCvacROihSCl7n
zW0UJpncOrHxeVCQI5G6Q/TaQjWvkVuza8qRr32dkMXJrz1KSERUq3sbZxcF6cgsKyMQbffIvwr8
FQoPNV+Dw9MAY38/XPHbNQYdLLxUIJ8pEszwP7C4hUIXAlUIfZ54wkh/7Nyklb83m2s1KjuzGtwc
yXugCcdxNf24Hgq5reQhaM0vp9ICkK77bYugNQUu53g1lCBPXe2ziKgPrC+bra8BKCwIiZA1rvEA
SrpU+FYJtgOSmT880I4I/H0BAPBB50rJIjiSMrzm903EwMoczDzM+kuejRmEjDpCD7ipOPdlaet4
ywlCO4fQbI+eyqf4N/8znGjwffinJTjKzMkH+ucNnb6N4rDWQDKSAUVJ0PP0j2UhgWf0XIz6i7bY
ReZIJ1mkt0ks6HpNJ79iOEo+q+2pF8u65pUXNhhRI+AH9qExGycXtkfJ+2SJn9hd0bI9QVjSuQdM
IX22T8840RJLaJ3zbP6gbSe3p00xGWQVKbUfWi1GHxM0DqXADykUb9sT6PEFc0ezbsXHBHmAKw46
m+h0Yrnf504uTYsEw/y8PDS44NGqYlw6fMWI5AF33pJhzw2chmT06zKxwegTAJN4fkjpuLkbayW3
lVK9TZDfN7xfLpoUh+vnoRh4+jRHc4xFloOM7f6azTAiRfn92ngbwjH6OXxnIPGClgG6sjdLg/J1
QOmp1RfoRSe714VgkqYqjN2oLqk3AYHi91d8G42S/aUqCUB1ZKU4u99ecbLRJEJPw2e6+X0xBp/u
4S+Zconlx2aTsS+8oxsWYUg8aO/bHIEF6/T3t7G/PfSXTQHigoFYAY8BODL9B4Wx0dkbUrL+qU+H
3tHKjT4jP0YjDKKRkNMQHy3Px/Z+nooGEUeLbGyOTeGSeayAlwc1g6NrzLXiBXtYqFXFWk0hZvMH
VxAg9SbblvEaiygS1a56Rb2UcgC32OwiwjocZ/Dn9JJ30u07fwa4+G5/q71eIRuxdJnPv3/it3EN
9FUB1mR/ajwtRU3w62klGQdlZ6b8cfZDhCQ2szZBEjtv+7oFpJymFwLCLyxbSCMoPhr3M7NFLbgv
aeo7lMQPfGH7kk5Mu/X2otUJ3UOkQTUan4ya9dRCA7KC0DjwXfRGqxhiYuzOPDbYRr9/pORNZIM8
AI0MKE0Yugco7EfelBKGDv0GdUjyWDhBsbecbvYbgCYdWtfXfYyu8BX3xsWyb3HEyj2kWA1S5SsR
MdL4GAIM/Gg0Ei8aVGWXpxdtUPs4AEgc2R03C36rFXR/xLXp2XSSJLf0pAs706lecV7gcf/waG8q
ADxaGQNWhmFXAf0y8r1fZ8tB6pUrDxUlbeY9UjlrsLQ2tbXjN+gbAD9VqxshJ8uTYT8fezLGmJCF
9apZj1vPwMyeSkp8eESWajEcIe8oVh+EYYgmQ0tKLLE0KL1HN4+wedEmOiCsOWQkuGDrOBDPGjVW
jKHomxRD4VwuCATwynfYEgIdGfi/l/HZQ+H+nsbfZdpv9miBdAHZVZ6AesPry/6R6sYB2u+VGfJx
BmCJ6PCS3oIJX2ZZo7IEPfunsPDmONovmcJzKIlwLKFF8G3hFXUjUki95NDBxVghbnUOCwpnP8Yn
7XQ6ZkceyAjlFFN0xYCrmQ9IWRD0MEpAqRREVGwqeHfiLi0QDLAh5w8WHYo4AXqCje+WAQfV67Q1
JgwYykUVA/YKdtE+HY1c9okADhzjo1y7cv4Qjf2IO8mkxNkkmdvr1N+PdlrSX2MiHn4/BBAk8D4l
ZEFvKxukgxNpomWFwmZlUNw6LykEEwFA0x1LNogAjkZYpouqTJKyQ+OGNa25ipSnS1ZpZDvk2jY9
SW95L3JamzAuzbeoBbYfuN9bIvJhVN/TTm32Qw/M2X4NW6zCu3SGwAbQUjeUma4N8sfJn0LIivnO
GoHun4r1UR/f0MjG5WEYbBnX3eI8tCLjUpitq6AKhgCjbiBLw2aYNxvA1C4k6yALgV7Npw9MuTVt
6miJAZyfdRlEzJG/8cZdOpEjM6vzTYVtQ1mLpagvgfdB8GYAzrPTDBkyiJQeXP/HwMakffKpaviB
pi6J6xX16bhCa+mm8lC2SZB1A3XIRZ5QdzBjFCBrLocoOschFsmpQROJiI4azFT6uGZzI8ljOUbL
8nFxC3W3ZHID+YATI/ffM8uYfdzyuRlGcP1jLKb35bIpeeYt0I3TNqZFP1alHGki6hyCUFM8x31X
DN9Fosd5OWCprOZH6V0IUS1VmOLuwvHBZMUBdUCm2Jn3RLK7Ms6JlOeZ6WRS4ocoBuowyktMQUbf
bnScsaS3GDJW8Z6yyLHoOAyp1vmlB9gu1M2QLRLtQd3cuDDfhAyy6PbE0z747AMfEmouWZeKHQJe
UE7JSs9bhGNdTUULBUZDUmYcUES7detlaCYi2nNoe5w2tSwD5OSHWaPR4tNIPMumSyyOAKVfoEhb
oEjVyLrKyq20WNg7leQ5PtzLD0nbKvwbLA5SXG4bp9Q8b96UyXzVMaub5CJeCMnzeu0y6fPzMnQx
ZKlZOu/nYpSRFo/TUAD69OvCVzj31F2G5rLm3Rp00Pl9x0kX1CmXlCT6Uvq1LOZ3rKNZW1YGmj0E
rty6TMinvOGcbNdpqiaMFFkNQvYtorYR2TWh3ObqJobmIFb3XRe6gh9Dh0DQHNEIR3HvCFn7La0z
UVFyBAO/tuYQadnZ4jC4iGTDp6RJBlyv71RZPoJtMqa2qIMxsknhW5wgdczE/iW4f6QsFeiJPadP
xYSnryHuHdDN1YmwjxhVTuJjnICwPwx9vof8FB1GRV6XwY1YANuAfOPsSsi8y0q/PKpw2YbhMx1e
TpHjLJmgXq2UiFFkQry9T0+sU5Fk/x2rZR/nIS07YEnEE4upIIMsRPrDGBQ05mTbFplWHYp4zU3d
FiLzBDOYeuOfXDf4dsB4EbGNZ+HB9S63RZfvt9xipvX2wLCycAWKfzLPnEBt6w7Mkn3ms5XgZ6rs
96GZZ3QjtjhiCxNwDzM8n/CMr89jLaXmGYCbwM+yRY/sQWYpZL51GkoAQJXORYyxeF09fJtKfGXe
kf3huFt/DobHqrH1a45bZhDJ4v/olMlbGrWWPLwONXn59X8N8svvASlI5C3a6HrcQDwQMT9LiJxb
e24HuuKhTbItuBYkhk0bPaAAb8ayyl4matxmh6WGytvb5nKIy5VnVSzFvLJ3JfTBGKU56dXe1qeB
sVmwx5TPZSWjdU96G0hq8UNQpJF5Ll9GcNTYQYhrL88kkhY1Wq3HgYX4YvXFXp1HL1P7sjzQgqQw
Pgwtl/jIcrU/PLrCBNZpE9v9MiIVDD9cRxPl4hHdj6l3aB8TdB/el4W0+dXjLvGQ+7fErZ3wd3gB
BzTg1eTEfusvA0o2aBMtXutLxxTSwygbZHe54SXqiz43O6IVHUPrR+zpsmt25GMKmN92zhPzHLNm
wPKZMmSseHg7I9l9NwHL3r8wmfcPkGcFPtQQ7duh37L9/gfwKyI8etWopj0NTYHvhYQsRsOEnFYQ
0Nf0Za203VS6/Pw65GU3W9zO0lKJL8EJMOLinW4lzvk5NhuLHpG5dcV80Ia4oa2jqeG4eNYJvEX2
4JQGtqkAGACywTQJf5mPzb6dPc5X/EyunnXFSSJZXNarvWd0GS9cOkaQV6syVegv4FMD2BC9wR6/
L5yZ8IGkMVN3vfH479oHgGhZFGJARQZYvrqbpeMABQIabfCXohnnJwZ1AKoAvm772g8lQnkHEbhJ
EGEKK5QvjqrHEdsfFzLwcrrMShxVy+eILWiKPTVqHKW8eIWTO6eE7U5eKNS739Z0QtPwhUYHLovO
9OeeMSP6ETDtPEiOdgpRjME9GhpEYBfu5dGXspkwRFQvm8QTSbD0IEi3KEaUczbdhy9e9L5qgFft
S/wFPy0mGTACsU/253Vtm+DDYoHj900LKJRUrdqAK5dpIocS4t52Zf0thQYKv8HWeK9h58xPWFcv
IMsWZ2gPPfnBWJ5cNtxs+A70G+zQG0dZDtTQZKkEXspjidK371E7DbVTACay616yfT+5NLQA4RtZ
OIRKyjiEGHeQs5cYZtR6++B5UP0YX7R2oEHovlNDgz+H6BJP+TkgPePkKvDJWnQ80m4HKUeP4+42
l5wy9z4FjLXy48I7MI0nFnSmpgOgC2iMqhwgEPuSNmhKMxUOwxKTv0HLgadiQ78fG33G9+VmExtj
8b2MZOdGING0hZZ6RqNw1vP8vdxA3z5YJNNAFTYNNcIXxFusLxL0hhHo0mh/Bq4HdNScUF7uKJVq
ka8isy77MegvrFyFiZ/TRTF1x6BvXPkpTcbJkb9CC+qaH3GiUZVVkwL+TepCQSrzBEQySPcxakzX
NDXPViqWDyFHbmO+l3M7m+TzBBGDjc5W+rkva5Jsk3zaUg8KFY2jDAVH5eJ4RE6Z51npY49V3ncl
WiXwQwI5ex7ATC2H1yd5mUujOwDEdZahHQKP9TPcKDXv8a9cmz2aIPvfN2879ftvDD/Re94l+8+y
GK3siInNuv8ip0An+iMq953baBXX2MoNskV+t0G6q4+Qseb7riz7/V9elyxySkQikOX7P73g4Xs4
JU1tF/Ta5FWc2Ki49yJvwliFaAB6nq4bL5PLYIZ9lzdk2+HACTwRPqA/RrSA9h3rO43AP9wBt9zv
HNIA/OnrhTJb4kgzWCrk4aViG9oOzXgV9O4+fS9fApZ8ARoNbI6wGiBg3UHIyTKbpoe+6c3IK2GY
Jw8Q/2s8swtg8earNmn2NA6tgLhGPqv9tvzPDUdGiXOkQjvNvsl1stOMhyEs+5rM+ZbItsrENPT9
UXQKu/H0MiDAgfegJyGYwvemaP3vrkVCVV78Afh6U9ADy0F8wApOENzYPyWewoFDAF6dPIhxZLjr
vGkW7IYwIswaku47SM0AXkQ1t2a/9z9Ud7/Wdvvl8eIWiPjQ1IlXtLyF361fYBUw5YCqXkJjBwwY
d4E6ADvp95d6A6BjN0WwCsO1AFnhv2wv6/9G0oRCmoIjlfzXGonkMo610TxN30F9uK/ukol9Un3b
YYbH1KaYstfg+Pt7+RVCgH8M1g8ayfHwoMOxzpNf74XPNAF82zUPJVg19gXC9D0fn6Yip8dtROr8
p3H+5wXxJoNdelnsbhrZW3WyFDaKVR/xD9DN4qBoJE78S+hjEOZed/bvHzB+Y5uBJ9yd2TLIKosE
fcNvtdiL6tJmcIp9eI0YQWw7aL8yumbZaUmnYj51mm/2vQ907WA4MezxnFqEBgKJJA6iP9zRrysd
Y45San9DEySYGbqV39JiaxmRkK/UfFAvmyogr8MeX7zkiOttMbeYApH6FTuzpDgckFoQsd9Ip6nx
Wz0bVPanrKdjFlULQgvEW0Yb/Dr2B4/v2pWinqzDC5+lX8Ls7x/i7TRi4tKIRmjABiQbF29ZVpy7
xiULme/EJPfItP1MhPSUDf79Sgqf4sW3/3uoKwMBAvVo9GqxB7HtG3A2X5CN4IVX/u712FvQgwDt
E/wsMigaJ7we7T+7HiD/3QQLGwNOsuk/wgENHEj03HZ3L8cSkuR9NuD5gX0xTGY/MH5/wZ3e+zcJ
BXy2BP20v4MAehSI6d/imWHdltZumbzIB2JlVud9n9MvzGLD/GkL/vNSmDr0ysBCBpU+ZLm/7vme
J/3qG9ZcvKQi6GfZSc0lgYHCnyjw+FcEGt8OhQZe65vsfrwlpL1vCJQhcoJ3iy6/RR1g6tdtlTC5
p4qW9ns5GYp5QMdIn9oEcjGrwHRUCqnoVDv4h+SPXYgQBH8/2q8Skb8NODBMDMHPFwrvggHYCf46
ClEEvihvxXRGc30kpmMCmRum2Edp4se/pm0A0V6PUwPMt6x6vqGKrRxcV+L+GlkEpEFNPUoNROom
SYGJRPc9z5pmvFiRs2TjHV/QnLmg4TUBFfZ5MqZHeWa7JB3MsVd+Sxw8TiI2oTfVZoAAb+gSj5Td
ly88o2Qokug76PVis9zKRsxo20HyxdoYWE0HCckFCqC87Q8KPWlYIq+JU07wZ6KSL+kOKocChxj7
GV5fSiD5czSD6BMcKShZ9/QkzAlBoj3uHap3Q+Ix3Ej9mM/v6KT2JJO85FwapC3mLdJFvLWVnFwf
b9Uw2RJtfeiiUZ2v/gXFGBznonpNsH5mdmD8AsZ3M8WeXORmBuKFmkey5KiLEZfsIdtEBhOBRUEP
lVp6vDTlDJ5BdeqRIh0v6R1b0WKoLzsWkR2kmGYL/Hd9qQ/LsE7UHIT0PeBgIEM52I+qE64YeU3Q
tQ1bmcpAdZ8l97Do0Xk4NgZBx3zM1nLexo/gQXamDblplLC70U0gNz62Gih4c8A6h8zhJKyJ4w79
kEiG/1pREk/FVcaWkHyBVwuMR+4A53H9fijRNA5B7DCRCBU6XuW3wNTHCXD8x2FcMbeHsCSbXauI
ADGZa6SMcVageWXl4UaWk5u2CjR5QGM3rFws+NpWRNM5jZQLzyzq5SoOPEUhAEl0PvT20wBEiPgK
TQ87FfgaIw14+obdFD3Ok+40CAUFLLL7n/kfAPk9f12hwcXHy9JQP7PUIVcSpaSFFB3a5tlGrI8R
YZsxx20kEjLbIMlcfsThMhYPGr4D6gR7nCarRNPAb2Zts+6wtoGf23SmF21Et8veLvMFEJbxQ25Z
UkOfKu7y1qkIWPZsP3Is6ou0ycapwu4Tz53V6lMTteNhKWOOGllRd0YRDqgrGbLrQkdfRontOATN
blho9SFPhcDsRsTCw2lJj93Y+ndbp1x0RLXgjsUaUYUVy/pvQvuHJE71tU1Jc93PkztmE6BxCGSa
i3n0JZyxQvE+18JAb6Db7+1k+EEJ3VRrOgyHjJfmqtiS/rTyAez0oDN4SKEZfajTDq3rAV95WaBO
fLbL6M/QY/DvppTqLJdYbWgj6LKTgOfMg07BGVQK0NEET62xeQzLVnxVZMgAMfj+YyiS9hglLrpC
y7Bo0b5A6E0K+PBk3YR3UHU5fw9Qs4WOytHyewwKCnVWrOMPc9KJ9qTXgRzjqXcfpjkFEIJQcJjW
xV9RNIDIKutDUfO85KL41M5JuV5CGeG/TUnaxcfRa4fyq+0FrBRoVvwoXJb3B8KJvepLyCQOaey6
98tMJeq3frzOJhebmhdi/Bp1k75Z8jS6nli8r1Ce7dxuM4erBWn2bZTL+RKoPLlqJRXJoUD0+x6H
QAd0JxfoZnTQO34O2oQfhpClTtp4+zpN3ZhA6aAha9y2CStXKHTFQ8ll/UFvaPu+Yr5Bl3kU6/Zu
jXMEYpR69YyubnqFF80qfWUXY0+J9sl1pvqlAgL9lIX1W+Q5v0tjbJ958u4AyDNqq2bp5/wAfzF6
THM33GmR2s+rXpArRqDd0UDgJbQZss7bBu5GxNP0KxjzsYJ7xXAeAWBUSdS790s8yPeTWB2Uw841
j0as5pNddJ9UZvELnEksuhs63B+Y4AJYIDbeIrY6XYpwXyaTUPWwzd3XrtdbBfKpfxrG1lRazzEa
MNLiUie2qL2N+FWKDoivU8GWmw48xAw6JPW4KHcV92jiXuFVdcMKAvm4imX51RIUKYcCeSNU0t1k
7llgcEBLDGN12W75hYMV2z30Q9CcBGEfk3HQ5xm2cOdOz+yrpfwxoH5/3Ey/FWej07XqTN/8WDEg
Z+Fy749IT9cHZ8uMVzY1YJJl46pIzPMlK6U+G+THcdWgwfYR9iTlM100/dhZPj6jPWn74bHAD3M+
JrcpBA/nCCfFwSzGPSDvJVUWhvmG2El+2WA3caYq5lCMAea+EysaKqCARUSKurYATpVJdpGDMKr1
NHRnmXn7CM0Zxf3PyVUcDfTUMTp9Bl5o7stBwC9kVeVD39vtupk6gw4IhFyU52jiGdLIXVmfhvth
4vajLYr0G5UzgkNi1vkuXXtsHmBt72Lq/PVi83DZhoWi+cgXw5mj0fyAsn33ZkHMu9wIrNE4F/b9
lhTisQCk89lshfuIA7+5wGbLb7eYoMNxY/C/QH/sDZh3uM85GLNBaL4OFOvdDqetIeM9enbFPcxX
tKmhWIlONnTms3Y+RRNUtm03tkz9NQRUEqhFP35sKOzpELP75UhzWVzE4CLrWW/puwL+PWAMLPlO
ONTt0c2apVtb1mu/IAc/5B5Qe3EjMzrn7hjBxh5N+Ar+eDeB6OYe6I+6I+gff1LOfsXfwHLNtfHT
1COD6eAvcreUHWShmYZrWjnq5Isn3IdaCbiVQILkH9tkns1ZoFcH7coizq9h4GaLUxn1Q3nVi0If
wC+j/3kGD38oyq3Pq25z5Vz1lA93I4EO4XolJsdYM7ge7A1bMwioeLFxgJOL6d/RJSXv86Fs0SuE
joHxKEptP3RNO/dHUNGruO5bObYHYocMSk3OY3LO52naPqwF3PXEeU89okNpllGNEqM2hkZeSWAF
VsE+DpkLTPA8n2+B4nRTTX3cfAw5GqDrMVLsBjJCHh9CjBTx2gEgcE9Zi6rUIo5Y7TKGxKkZIHe6
mB3L0e+8REP3caMrT+ZqXUxUerT8Nya6LFIwFWej1sEexDxl/qEkjYQ9TNKo0laW8AYd2SQtl4eW
Qs0Dv8ZUvR/XmGzngAK4q6PcJNFNKLtlqBMLfuE2VwinBwj3tgM8AturLnGwXYlzeQUngGXq3qmV
wKuNYviHaOkPwI96uavHdJL175xLu8LB1q+DVySA/2nEfihAu9Y+hgsGjOO8EjdSgDWu+gHwc725
xQwV7VcQUrnv5MXQptl4bEIWbmUL+PbQLe1yQZs0Lg6siEQOqK6zMayIrAZN6rN8hVEPWHnmEndH
snLJ677j6VTl6DMBRAgs8SnWxH6fS6Qm1Go47o0jj+kRvUOJT2qkcILAVmnaJXIB1oXsw0rSMUdi
5ou1VTUiqcMvjBFp8UINBCFTsKPQCv57jYmX8ih7GCOIo05gTpDdxmRm/hEkcw9HQlOkcD+av2yb
aB4bob80pc66CmVC/xCgOTlyeFCcIxweEYIEs6Dl8u1arYm6g5WPP83ClrU2etNVDvkoPB77rH9A
qz07WMvgKlG0KeLr7PpvruHbKR8V6MUGdiRgPouojpdpb+bDYZPel5OgDzmETfbQzsCgsB6wYCro
9ML3eNTyvTbDVBwn2BjewAtqfPDwCm2OfmnglgA0u8kr9JGVl/3YmUMyGHWShmcPg4zgu+TEeC15
Rm4TuaTXiQaZCm8zkOolyiK03nEYkvvcn7cFbXgVOm5Vf4jgpQJng5iNd9A1wm1JWzgTlFOIltrI
pqtTNs0aLjI9h7YVQk1/OTE83HEF+P6wcdt+5+DjzRkGi/PBYlPCWWCV9g6nPA7/lqHdv+2QX+AW
+AecOu3JozG29oMWT13bxF+ACC4niInK8xiV/SnXeXdPusjC5IeJT9HQP6oOCrUGhdspT3j3GX2i
bqwyOo6facTtlU8oXypul66oW4C2V1wneOgmAvLewvARRTh916EsuZpD3H6TguZfJG/iTzKm4WYG
o3zItBkvKaDsJ5ACcFNCTEN3Ju0ic8s4p8hbERz3RZh+S+VepK9o48KpvSTT8zgXpD3CsBEELUDu
kV0O2bDbdNp2ceDAthEgZh66uKYKcaRipO2yW6Wn5FkI4WSVoMFpqDrYsxa1xPfWgOWwJsSq0bHG
fJIfUMLPCnZgOL6vehgq/LdG1SZqqSmNvuDgDbYq0aY1XxAn2cHpjlzAGC953PUMpxguj7DUgJHd
uyxbumePBk0cD6g8T6PnUGmNPKM3oBQterEgdqlsg5TmZpm8fpaJW9p6Avw5w5pDLd+cW7FXsClR
p3kNdPX7DDZtrsAUzsehm9GVZuAlisN12ZDMQ876A93bMz/1uXDXKRr1UMsiHXEHxQ3JjsT00CJH
25w9uUmpz7mel1pOdDrAKNdEdz7k8QNYP7i2garGYDEXhDoHJFVXiH5DOC5GwK/WLCVST6hLyHhH
4YNHas93heDaR5k+Wj2j8wFKGSyiOhW9gMvPfGpmBoqnl3UHO0xuj3sZO9d8NW2CnJoOfPs0TH6Q
75IxDtMBVQWXCGklG2GXYWPfqPVMoqQb0nfMU3TWydjAmEdBzkqGeibF0vETiDy5RLcSjZxjWaPa
XlJd+U30k69zHLjZehDg1Qo4OEFlnq4HWAHxXl6vBQekU08eBZi+VzNQK3SJQn5e+pP12rSfmkbC
/egQsFVA76BLiA62mhczMndqkKsNl1540v81mWmZs6OALqtHz54BB/jAowSc0FlDwOWGg11TEnVw
xoVVWfaUEsi44IHl0bkLVmmxePwfPSnzCOM4dWgWLLVYsk+ZzRLx8AIiE70TIU6VO2SbxHzR1zDp
3iUF0DHs/Az24ZZ/b1IeLewMvfeG/WbiqWw/ex0EEdVQ/D/2zmvLTiXbtl9ENbx5vMBy6Z3S6IWm
lMG7AAKCrz8dqaqOlNJVtqrn86a2t7RYsCCYMecYfdCA09jZJsXs8opgOR4fp4yGgn8xUlAuV6DP
dGVHUzpMfXlYmbrxa/HKK9ri1fJBKNUYycdJNeeY6U1tDfMW9ccQIcax6uTeGp0ud3cuAtrcOtOn
qVct+qh8pMZh75D2+67zC9ZjbWxj+C3ppYnIjNK9C1gxVYDnE67pIR+9WqmO7rCkw5tHSL2marZ3
abPYebXrZpRAAb2DpoUQRenn7xKtchOmczIJuik07D6wd55aLfvAPLJ+7Pyp+qCh+oHl3GKKC+2J
Z2eHCqb+ojclVRaqfBCKu9YdgiyWAv3MEq5mz1B0dSf1Xf1/FuSphArkyCP96fwCeK4VlaY7XRaG
UvWus2pEZDJgQN1p1X0RLLN36inhvNBqOmWHSzOXUGNHHXXl4ncz2Btdll+6VccBmgi7TiD9+fYU
j9aq7oZcg8aYzlq1owJlh5gUneMchGuPdZzU/vKqrcmiMGanc2/c+SW4xHgmiPqz0BmsQ9KUbA2a
VZPsRkRhZDvKCTEcp8wp5ZcUzhYdFypqE5pTmaV7/GMy0fb1ZPiIhswe/3qi2227s5U+HI2h9V4q
Wdk0LL3ETNuIhmLusEP11HBV+64+xabuTOMzkgzkHGhrUf9FaE2gEDWTYaJ3orl1lbLzrkO7pw6/
XBgELuFsld7OK90KQNrQIrGfHEwfaP66GkmJqaYh9ht4cqGnjdkBPwU/jLekWmih+Tv2XdUX0UTD
7HVFSMG9kQS3k6a3nCcQL9folhvFjx3bQeIHuwLNx1doThQFZdGlFxrL8PCRzeWc3XpFLbaqyzLz
IxWMeyZsz8lfWSItqCfSLu7a2UoukW+mX1IBFjr053VBRpdMdEbWNV/CLtfnD/7iTDezqDJOAXsd
U2uvbllNvRoTRekEdxvS3IMQ1s4ng6ZFHs9odp5my8bf6JSDfWzsokA2KZx7+AvtfjQb/dkVgwHx
Dn0kOLAV58CwqhBflgLiaJp5jJVbYjarGoT7QS4DCUNaoJobmhWZaprA8vTnoNokG+yGo67xlLln
csX8V7cwPMaptCRLr4YPIw9hdCJ7tNKhpyho1HBpTd10kZqG9GPdSTtvj0Cje5gXb0QNPTacJSoF
76MtMjgJNQX4da9tFe/g2z4YK00pqKtlEiCTKTEcx7zQCxRhtEtu1poOQLi6XefuSonwL7b0Ot+t
/cK/SR1kfshZauzNVvcNHHWzM5NhiSBGqxeP1UKeg/gUXVz10r8bHAHcadQcp2dDkNMFqs320qoS
89zPqtJDvpSoOhQws881LTNfIRiVZ4vWDTdoCAtwEr75CbfO1DD/8AIV5c5QiMibbVzf06wKQOnC
H5PdlOV+xforrOq8MEzlQD+fnUdIPN1yReeqhPlmAx0Jq642XkACpCqsEYhctShfQMbPjmJTEJi4
LfpEd+pdbRTZQ+ksYo54b1LVUZ/HmSV6f7tu7vVszbShLbNNrnwg+c896o80lFP1Yg11+yzGFvx3
3tB7ROmJgCuV3PKVeEmhnafUVosGbnU1LsWE7Wig7/KxSSftJAoe6ljkpXc9buTo0enxoAivvKAv
4B21RPcf6RjnHrdB6r525goo0taHOymUeSqHdjSjQvrzVq0B+nCChhaPNwz+cbCyxo3hp1E41Xmw
HBoYCtUdLt48FjS3YsGtbkc9rNcd5Ytx3qg2Q7M4G89ZopbnIBmNsBsmHUunU+5qv0q+IXeG2u/Y
4wefcv9g2Inx2qKMBx2bKAcCFRcOK8IzXiD/ckF8cOjkyFPnT58QTo833aSrJPTHVjd4DtabAHwu
FY0Brov3gWjYZgxWDALqnC6adjH3pngqaHbE/sJGpSfUYA2XzGgfNb+y74vMggtr09U/dV1jMKJD
AYrn/7Oa6P6LXdnRDxKvvKCAuMbM5nFXPbOjbevuTthDazvXgO96VvmBRCE0U6LHl414YVFF3TNr
YBDaXtsKiQ/QWBMPiRlbrb6M2UmfsrpYTwjM1fghASfgfHYauPfHovXr0Y4SW+ijFvvSsWfB4lWi
smHWhm6jCIzc1WMEgcZK2ejD54xE6Qp9OU1qoYsZuubi7G27mf2PbtOMLCp9V1ZLxTrmZLoTU+eh
n4g15aYpQhsoJBKZNGU8ai+FR5uHBnm97SBRzbr2q74BmYeYQSsCwt3QzarMmKTmRCOMcZcCLTYj
7sGeMUhapKve30rLB6e+z60FcN5jS2aBLGIGxD77PqxM+VJcFUU7AMEYZnDWxk7vrGnoX6dylYYK
+ZQuV9Hc2pRk4dplrAzHBPtmEQB3UduZ2G6qAyzO0kV6/dMEEsN0wjzxS/4fGn3PXc61cWDDfF6o
IancaNED35P7v4/nfp2QMzVEAaIzOtycvAxgN+P+zwoJWmX+qONe+Fq33TbQkD80LvAVBYPywcvs
CUma1BcNA0ZeMKJ75wv8Ot7evgBCAcy7hH0wJfwNxZQ7Cm9UmkMg/PEF6h/Kk7oMoHsdwFCSL/H9
lP+P5vBeeovhbO76f2sBfktv2Zjw7STyXxAQP/7Rv7BewT9Q7WyWc3plm5Htn0yvwPkHaYomnCuP
//ivwBb9Hy6KBRePAposXuAcnM//HtjiAvqyTZ2b73tIqf8fBbY41q93MUoiqHCGrWMAR+qBaebN
hFkYbtEjys3OVnoMKPWq1KXitIvEVGHn2vJFT2uPhpXT3uUMa67WGYxw79e6EcG8KXaGh165GPHO
7oS5lNcZ0FS2oFpTUO6IwxKwkxipIENc0V0fO/7iW2yng03lVc7eXmVOdi6rub3QU4ZnYWtWFx21
/I3XbrEgDJUOiZd4B7uETBvhS0niATwhm5tMnEoekMtpAL27jVs0ephq5HXFUOocSMT8sQR7BefJ
S9LIyiZJA8YckYbTZWmhtcxYO2fWTf21LNf2E7oJ/3ItLXoZYvFHkJ5zytTZXfblJiGek8VP2XME
DASzpNVPhkrsYylM7fMMrPOb1+XBtUXIw6lNaqL6FtAzUUbRcJMzzTtAoxF36GDns6IEDxAqxBp1
ZBXmV8ZsOm6EYg3p1VGJabQCr1K9Sc+HbtWgBqUCfmzXmldsCZsTfoFnCUz9rpjR7ZeZLz9k3Tje
B8G41GGlreIV10n6LHCCgANnvxzCKGfqvTZsuli1TpVeejmTnxz6rxOUXoSXSHzqFWEykWnPTy6a
KC5yU71W+TgegzUf9wZU5c+rPlUXuS6utTV1zngBMK5K1vW8SypJ8os37L3FH8xYkMxBe1hNpuD3
TMvnIA+oRLlKE59GVA9ofAovBmBJJNra5URpt4eDkUx4ARztWLCdOyx9Uj20jZ09lQj3ywiHnmXS
WmZPUwOMNhj0OXQa0flR9+bce6de2NPlZAfrEE2tjj1FGbRVMrTolKpsg6J5aDJgpIi6Qzqw87e8
MFmjuwUGVthUwwpKLWtucpfwDUZB3kUq2jV2VjWF7DHqy27UiguCggy40PVsa4BC2T+FUG3Tx8Rb
oUQEsK9f+2WmgQETn218JfhbnV4f125NPSZFzOlbvzGQCDnBbZooAGK+tusyOGiZklgbnKucHsHn
xrPKky7oSc8FpS6pI5M62E22nK/42IZ9EYwNjqMiedZqN9XOkt7si11AIs+XftaHKcz0ebqT69wm
O6lK42UkfqGJ0qafbg2UzB8FWiFmMLPxCaMqmSlSjexaAbn5R9sq5yEUPoTZ3FRsSIjPsfFBZGwt
JlrSj5bUs/Nez+zXiRiDhh07N+3mXKqOXdr4Hwv8ypdUw0qH1F8GD7TXWg1vjpewecy2khU8dLv3
s6b+5KRZ8IEgiVdNnzuqJmFdGsSbfHU6oRCtIthttu5z8wxzbDCiShSjx4/ViJfRs6n5lFd0VFIt
Q1FNws8dHSe4yEz6ikyHbw3aYmDRc55nobOrAGhh73ymB1GNaDlcJftT2k057plg2q3z2J+VrcE8
Qx+8aLWywuc6AGNvafUUiIEIp9CCTj+wlc7vTKk5hzZHGhlrwZjYTGGF/mKWWbBbbRZTaeqdigJG
cgW86q46pQjqrkp723EGrTXeCdriXFivLp4ArvUq7I3RmlnMkumUpEvjU/EgmJae6sTR1vzhyFyF
1iEjy+HaHoT2uWXiTbPAKCQ8a6WxuKwZdh9ozfQ7bVvuNT/rP7qzYk5Nf/YFdQBUEYDM9W6cB9zO
lgOBENSa1cPHDRL6umZXx242J6fM1GZYMHpHDtbQwUcI5nO0vXlUVyX1beOd2Z3CedM0JEhkQwXq
Nk9ORcmy2dLDObDtewC+PR2GrV+ewymViIOhbIRaiRAhGKW767EMflktuaCLNtw+bhEVMK7LpBlW
oN6uF4SYcjq3AaI1Y2SLucufVi2tmqMC8lvqzz5KFeQeMGSMcXyeJsXwJ0Epj1ykwKZUzAmGt0rc
YanV75gQpYwg2c140B5OoHkfHeQSdz1Za3eTASsihE+YPM7CbZ4tTfhT2JCxcJaptHz0GxdW2zDz
WPlAJG70aalvaPmhRMVis+Vd2FdBWg9RK1d0NY5gjmzwtouWWuVXk0lXsvcRucTs+OorOnV8XbfU
9gaNcy5MpXU86oFph7R53Ive4Ouvy2gSgEWblb7tmNzbvnBPRV7OD2z+/D7MZJJ9tfB+XzOJm2o8
0317odgkXTGz7O5X7vFTyol/7vJ+Pc1KOIdl7Kf9goXhI7DtpY3WXluPqVGpfWErM1yMcdph8p52
JTt0GU/oGs7NcfVOWQ5fvZ6Lm76aROj0DAySthpsFtkyuZvX5NS6hXmJnoTuUrPaePH8qb0B6IMH
kOv5INrFwK+zMrm2Ne9Q9EK7LnF6WjvTnJ3bKlizL9ht82O+aDPCu37pOA5gkTO1eurWLMV8CFQQ
nKQxDY9M4OsbadDN43liwtRMrQgtCvGanyiVORMWpccYzBhKTFbQ3+IJqWlQFhbbCOJ3dhkUFwZf
lX09gZy7XL1gOQ28GPOwM+erJvA/620efDYGNu2hA6/zOWcq+FEngu00tFp3aKxM82n5s9Rw+2W8
pO3KciJEht4+l0V5kwSUIB2UgbgcDffFbHP/2mQqshuzbdGknWPis59nZ90JYZrtfaOC5xwAESt2
5mfdeT/0kxHpDSZpJj1z8JID8LuHDzMghEBPOhwtL+ixorhoFRknGr1+YbpjznssMBqd1v4I4S3i
xc+Vb81V4dtIkStZvtpbmevtu8D1oqwhYSoq0vl2JR2vOB9RN9ZHZonZM6J9J/9kujziEQY23dmJ
eRWpG5buwrj/0gCtJ8dDm5a5Pp1xy5qiPPNkA2/8U5+sL5S9y1NZas3nQi7mYzBO3oPRp91Z3+cP
PT2sHeCu+uQxdoi8SdaR1y53brW+sAB+s/PsUzG6Lxsj89Vqt16WLRwG9c704gVacQT+Ut30RrWb
7Vq74McxMSp1JRkfY//NWh1J56rrS2QMveXnIUyn6ijge99azlyqaJrsDJGKYPL34LuT2NWrud5m
QPFpoG2ksH9qqv9v9/TO7skAcvW3zdP/g8TSNmif/xeD9+Of/HPrZOjsndii4O31QF5gSPj37skw
oCXDIPkhnQ/0LWbrX5Fa3rZR0r/va9Atf99z/WsPBSMPmSh7HwtbASL3/wSFZ5q/WiXYQvkO32uL
49T5Pr+J9+uehtlSujO1a4cU1KVTSyZOE/qO2+rn5Ar4gGGK3hvX6VBi1Kz1JwSNND7KpquHB7O2
x1UgrLIwBFPeiI4QTB6ivvPvc5eGsAt1qGhyY4q6eWHCawM3qpmqBOpYaPOs0afHBlLLE2OWepA0
Y2mAjt1lUylCV6TMQbsGftdckDWxnAEYljovEVcR/ZckD4XVdyg43WdtaOVhbqW3+evxwJNTcQEa
HnZwsbB/c5zSfMjcHLBknuEBoyqc6b6Bzwh2uC/7GeDlCsDYrdzlbmVK9knvTCYjBInKS4BZTA/N
bITOKeSUkwtgpXp1aBZJAIiEuxI7QZuf3DrtvSu2MrKIBqUDbdA0OqMudcZhFKUk7XJDLGW1XR67
RMx7Xiek8zFM5IPpuydLVMtEXptO0ryMszLuZhh28tCOBb70YYCamqKsgDKbqpVc0VrEhdPLZ+yE
6pGIRs+NRNp3y2lp8fkw1XE4USZyk/kMs6zHEW9Uh8F0t3DBUu7IfuoNqi9xMWPr3xSeCHZ1RMVd
yEvaObkwOR9J1VguzHEOhkNe2P24zwaB4lZyq8cwTpR+27vlzgQHShblWCWRS3YEwqGtzs3JvNFg
PaPzC0GqiTbWJ1pzyBbqI+6qjFwIScSBOc/zbh4LXtCpKdO9QpDJhU67zokoL+ZvXpLrn1Z8M/vS
4WlkR5uLHVYx9aneguj2uL+dw9Qu3b3RiOwc3kD13KLgDhNdGnPUael4JDwy1WNTeNf4GwUZEVmy
Q5aEqZsencFNYyyG3KUpMQZKon7IPBFcL06Phi4RUzTRajzLgmRhj2/VJSgHC02ik02AgQutPWHw
MU9jjYATIGbykacBeSA2/uA1qUm8CMlMkOUhHXvzISG34DSLmgimikZ7GDTJcM8o4bM+O1osie6K
waUxKOAJyE+tx2gPZeEigyh1feOidiv7rMwc/wVri3mQQ+ZSUpO2SVKthMQ/wIq14iHpHxDNiqve
19fXaqxJeO1T9TjlXX1MVkTvkabpbFs7jaa67LThWrVLc9U7+P55gRQFe2y5hfIgGokNWgYf3JTY
o1kLmhOqrvRp7DeFJ+OI6q60OzMaVvSGSGQOY4uqX3iJDcrWLvVbJ+unSKHiD/bsh00AVWRIJeff
h7ET8V3Xok6CPazH6mtjlOrUB5Drls17IhcVkCM5fi703I7xWc+Rw57juKEF0GqYn5ZZPWFudaKm
TIMlDqTpiTKmq8/vCC+pp3Xh3hBFm6QcFm/rpMT/9RR/vMfeeysa+mZk+//3FPcVCUZffn0t/vg3
/2op6v/gI3QsYTz6mN9/DoP2/sGt627Jj/jJmAL+b2/RMngv8n4F24U3yvQs+tb/fC+a9j8cE2sP
r0YgMiYp0v/Ji3HrHP7kXcFTA4iWTR3WWP6IZ/LX/ng6L/rqk691NNEBjlFVbolgKOeDC5uCHJWI
Q+gH1OG8iYOMweRP1+rmx3F+hq9ygj8f3dHhgUHA5frQWIVs+aavicJmxTCxjId5MiViAnJ/jdys
YoUd5fhfHIoigMLeRqT91qQjrEIaRu2MB9sQmEFMA6jBkHU7io/+vzgrLmVguXi/3N9KjdXAfKps
e8RysuSHxVr7WIzItsfFe4/1+Kaq+X4B6QdTQlncFJRRv/58W8xOWTlcwCBPAgiP5i0yDvfbQpxP
2iRUKK1FIxj6NShCu30PY/SHX8+i4EMsaLrGb7TDccmQlNHVZIphuxvOPCPd0u7/M78ep+hQstFj
B5rE/OStP3AAWT7IPpkOAtoBvmGzQWHiLL0nd0VXs8D//T5502r/frjNr2fSz+c2eTswos4wrYz9
9QE7OFvGUnzF6vrNT9s6xG167qIQ+bG2EppLDv0fHoJtBPXTI/j9iNSrprPBZg39rSExyciP8y0M
HgUDAOIfgoofK2h3fz+vX3Fbzo+j2NjUfE+n1Le2R/Enq7BNSxBVQDkRfSdpKGnaBXSka2UQrEQL
yHnnnP50Fc2fjvbGrMcgEgcF8LKDj1QxTHAKpJJk6K7Y+M5UjiFBO69/P8E3iLofZ7gxaxm0QZJw
3y5lKsMNhWoJf0/m2td2a1ePKY6MEzI3/4hrq6Q0uPMoPCL6CcMXF7bbGcq/40QD+SCnQKJO5f0p
Zq/7vCyWdlJAo0OTuLb7zWCFrDEl8bVf31mYjD/8/gwmPd2Atcvg6e0d5w+pa7aMgA/5zBQ7tDc6
fAgNX+6w6WzIAuww+Nrm2OLq7cxqsT/qqHNuEBF1V+xXIG53aXDN1iR951lw/vjVWJ+3JxxUlLn9
/59umiKA3bkiRqMhlSEJyZw4Fwho0CyPO8BKwweIKii/Z+YtcVutzRn2RXExUAuWcb2MMpS0UEp7
QNeIdCG0jC6Jk8aHe2um6jydTHFluqt2WssZuifampj5N1gynB6P05xrjyPa4iiwcuBKtKP2Froh
anLh7yiDz8ZSANDUqikaEyeA7AZO0i4/TITe0b9VjG+stdwLa0L9o43XbeCtxz5nJ6LoAZHHWSUX
Ooq8J030TJ2aUtuAFd9KZd2NDMeZjKXlEbr2eM0nN++MhX9/QGAUUBjw1PMOZrz365VFAOlMzrz9
6EN2pZVTBnSJaVW+PExr0u2mCavc35+PPx7RYbFGPYda6S1oPMA4hxq4HA8iSdBE2Tu2A5+Dxr4Q
VkPQW+A+//14v7/b2XGz2uCm22z65huf9ZAGErbwNB4KhbrdJAjnlCLu2vmmeA/h+Ptt6juELZkQ
ZAIdAemb2zSdHFnMsuUtiBjjvNV649TOk/fOBfzjUYDqU6ZYFsCjNz8ZpAGtHqGbkCcpdBHiOdKO
bDb8m79ftzdG520d42x8g/goUAMeb79fb40y11bD7diILvh449YYir271GnsDpDpbDarlBTc+Lpn
pWfCfxJmemjtMn9vWaJf8+a15KNMc3GLGo5Fy+TN70dyJlYd6eEVXUiWnPug2idzMe7tecz9yAK4
fTIaDAtCb79W7ezdEQIwH1JHl5cgma0zvODvUkj/+J1wtpO9hVrJectXTm1NQ/1lDQd0VQ2DN2cX
6ETzrc3YXyVDN0UZlqKXyuFRBnOirqdNpAI8HfqB37Sx11Rf4fTIq9InE3idP07MmqM+H7t7BeMs
7MbcOTLqms8ahfNIH98rLsw/nkCw5VhR0vP8byb3nxZUPHpBrQhvOdiZukuF1+2n2U4/ZKxiODOI
1EwGQ49qzx15Y4n6DAT3Jz/3HsC1BCcS65IISancZXob3Lar1z74RD2t9FHOLD8L9nOXqnguC413
xVhBdUOF+M7duf3sv1Yr3BY/ncGbu3MeEQmnrRoOSivSs2QNGvRsSxMXGo38XLDIMxcMi0I/Wa2S
0UCs9zvPofXni+jrIMMBcfxGHfAVa4lypmGzahByOpHZ9EpZdePZQ4N9TP/SVnJ5QlGRfR423pRM
IyyfWYxHFDlwymBbJ/kFka+3eefmOvTMqYsyDnhY6Atgvk2Nr6oxDJZK754R786BVhq7WvCEsprJ
iHT0C40m03FtUSRInURkDoStaGv+BYPzzjX/vXRD2qvTtKRC2NDiby65A34ANTkLQl9UT02Cf6yo
Ym3FS9KujvVOnfiHZRtFi8POExUMteKbHcWAZbsRLDoHZsTfAjj/vLVlEdrLGrxzpO2T3txJHAl4
S2DbLrPmNzUistsJBazDnSTSByws6RO0UjzatWI3AdgY85Huav4ZKOf3EBl/eBe66HM2Ug0vJgrv
Xx/DMc17DDj44CdPvSSjf7N4/cYB/VZ54ytbXjd+56nZfqLfztUhxMJAPAen581PiJ1gWPKcW5Zt
eHM3WdQ9KrFi1WQyAhP8VU/qhzavljhVHcWN7eeRHFIR61Qrf/8qf7yZgL/zZoFWob99LefTKB2s
fsNh9pnG6x3zdTtDqq3lbRo5WfHt74f7w0uT9BIa+TTwHZxYb35kF3xBWsNwPygllkMK5z5aQRe+
s0f8Xtu/vb4GnQzuJC6vjd7ql3W1GIyUaXY3HNgjg1aUC1qMBi2im/jaaR7w7qUS0T8gUAZRSUqn
XzKSgtmFUMN9b438fVOOIHLLdCHl0SM59c2PPStSyIDZ8GUk1IAs9dL9IFYcqcgv0hpLTzfUzSHz
RpP8nEl/57F6G1u41Q+siy4Xm7rdt9/eayMOO9MihvkALTd77TxB7Bx2gfF6yA2nDqHq4svGH6gz
4lcBshvp9pUT60XHiJ45yabiAVx6KTMLFYM5jow3gTIMX/5+Z/xhoQEtSugDjz51zlueC2PZXDmN
2x/cJRH7yV7lzh56Irsw+b9zSf5wKJg4thfoHm04rs6vd0deGEPXC68/jGtSfyM9x7tdmwxJhubq
/8VpUYOCH3O3ltpvq1rXdOvY+QgrHDMXt9jS3X2rvOQc9CpdxH83Gm9+3N0/N8/+sIhxJNoilIio
TN/uG801SYt24ki5padxMjbdPYMZUu90mB/4ae3QboEu/P2gf7yU7K+h1MOp/w26lSJ5G0mD6g8K
n0JUk+FHumiNmkzHX/D3Q6GQ/X3VpNLQgwBWGdT5txW3jy9sSleDW8QWKDhchXCQuZY9o/cigI60
dYGQzaUmJ/HakrO2Z+c4LbsVYkt9W/sOD1du0WM8JYOqHs1OVlmMj80H9FBhdAzHpM8+MUXWLkuY
csM+zaotbg58LkYuTsmKPLf1fTruzmzsEScQlfE9t45EUG/dgVPDspeWmfGAvXE14speHHMP1Xhx
dxbuMvM5wKlZf0VzYTOzwM7pZuckWlrJZgcQ2Yehag11qrDwQDrIjRo+n94ZZ/W6LNoBCaUcrpya
fOxLG0NYcusORtVsednavK9nkAVLONlBCX2vlHZKqjn6vnjCUQrVk0D4e4lTm7zoRmuPMNabJFSp
QO4HA+SxxoSDXWqy2+IElDDtIoQgbblXZa7SXY2KVFwUku0klm0EaAzUhjlApikdteAsUYl+jkYw
0ek71J0Zd7WzFVc589dPHjwDRVzfuBCpDQH0viPJ3mO8NxTqZk48eY8xW4w7nPWBdwduHckm0Yjp
dKKIXdDfoEfd21ghYH106bpGIDuCQyN4Re2Qx9H+A9pDlHo/OP4HxP1ElFd1a2HvzKQB2axzjrWP
gE5g0ZVO94SNtnquNF+/G2Hnhgmj0qO2JWJafXA9Iapp+mG/ZF5zB8QklKCzd+VKZKtpl6hCgrLe
p5M8s6SaI7MbPhUlrE5nMhk1FYu1x6/4xba0eSfx8GwWU+/g4jreBXbuHpA5tiEV8wrzIUAranfL
qzcyhrUnRcSqJz+tvUtaorXNEhdUinn1qOu4++By3jhBLXYGmYo3Jey2aNJz49yvq+zSmvk92C2g
lMmTx2W1nIOjGbc5GlbctktyQrlbRktRThQVSOQI6nLiYfDWWzwGp360xzBf8XLka3mN1zNCCinO
ymWBqaSXQCoQl4A7SmRETCGMKivD4537N4lv39VatuyM2c/26yrWSGnjFKNCNg8rpesdkIDuY+MP
+kWTeX6sxt6NyT4V31ytJ+pwlAjUaFgfvLZ1TgIxUegBtD2BZjZP4Hv9HU2KM9NY9qj0Daag6rnW
p/65yZOj59j3AJCfnSVpdrOOyUlMyXONwVjwBNb+SU5es5cahB0wdw9l4CdnQ2KBk0pbf6cXCEEB
+K6IpgPsXewb7sBBy5s+FTiaEInhkRsuMAV7YbWgLVEaXJx+7o6+NSJ2Qgx2bGpffrMHvE8wiRBL
xqXMxxWJStuTYcTW3NQFqiD0SFA3WvDMocnN81QjHV9ir2cfwcuURQKJ5PzSce2vSCTIaY8kqBBK
A78JcRJaO7Y46lb/nD+0u4UHYpf8CL31f0TgYj32BlRDZgJqNV4HU7xohrUn7RVXmGbynQ/eFq+7
eEwqj1ZZmVNc+5u1VqGZ9C80zR2LsPR8bFGVkg6qVNSRA03aPj8KwZUKx7Kp4tWv5UNGV//GrArG
uXVT5qe5YKruBHl/Zcymv29zOePW6WnGZfmgA5RKqCfp73Y7b9WrcxSz4vNIrIu7q8hyj4rZya2L
hXyee1uWybeA5j4pyQ3xzWGXSD1elb98YM5UfxMdcjRsz4PxEXQbgbu4tK9Jfe02o9ccD3DUDyMV
y4Ov7OJFDnyO0qplh1mqP1u34JR8aewTwXvDE104xiDFkK37UU7cCRlas2cI+f1naDPlvly0/tnr
8STCjBmJ41nGcp+jRX5y2p4JtdfOc+wmTj3G0zrwcFSm5kSlbpdx6rpOhA7fOk29U0I0IUqeXWkg
9iX7pvqIy52/P+JqfeyTOV13vpMbpDqkc5JDgcBEGyGft04dUK3tHtTms5S8h3u9zqqw9cRk7sFa
dtpjE9icoteVQXaemitf1S3lI7q2ab4Edp9e537vx2SvrZftCFTFzmw+1eryg63n7r0cTWcNqUT6
M7fLsutiHrqPtO5MxPOtc416vXchitXrfp2Wck+cBH4tzC3pdVV1Eka7kznXPEQ9DxW/Lk14NLh1
AGY0y7pXIVOBi1cYD0PO9c6LUmE1btTBh1p+JBhY4QQ0+9vOEVtaJDtM2ABrR55uX+QHrmx+dJaa
j9Wm5cYQdn/WGUVwscqhex2R1T7LjOu6el7/uTVSrPcr4VSwKcBinMFjUIcpGIcvwTw41zZaSbLO
2iC9XvINFzW7KCG+kLNoE+/amVhAAdXPMH4ucFWYXQyxJI00iGrE8DQZWhx/mpIhJE3CeOgMRbSz
0yYfOjcjTNeZ2o9u6pbxiPMV5gXuYCMkPnr44kyWuUtHvye6W0/iVJvkuag5eeRSyweS1VgX0yQ/
Wh3/utO19HoKiA8OM5/YA7K2fSYWVl+diKnCojwGNHFi1CnJWVaP/AVI8X4IFK0a42LtWnwCPOe0
sZrhSSma1hinhi9eajtRkqjqZIj/Ye/MluM2smj7RXBgHh5voeYiiyzO4guCEkVMCSAxJoCvvwuU
3a2Wb9vX7x3hUIRtkTUAyMxzzt5rd8td3iMMYOZiOvfgt4Ynu0Lah2eLNykcPb/zu0a+WVni3mvB
XIOXK1VyA2W7RC1jl82LqOfx1nfb/kmXY36XLpfbbCL/Cl0/1FV74IVybdriXtEhtGhVgtyZb83P
kulWJ6TrQ5+rdKeNtgOWpfGjO7PI7AOS9PLKtRS/sZrzO47s42OgM5GZ1WBrx7mhJb7R4IXh1qDN
F0Y9sowV/ZYWRJqrETztahUR3kSRFVqYam50ZyeUXCuJQW06FMMA9ibpuZNmrW5Yel2bO401K7kh
V7cygO7N1a0GFAPMwCS41joxIZCkLDT/Ici8j8rXqJkGvcAhXKj6Q6sy48mOpVoPqjW+u0PW9yGP
Xn1htZg/KhNuYkgoMaHQTeb030mAmB2umce9LyVfi8tO3u50lRvNirgu42E2hXYXdDqrmecSdi39
+kJWCI3/2pTnbpjkF6AL9cXo/PgGlitJS0Hvr9PWtw6sYwGQB5/nG0Fx91ynaalfGoTnrPFVXjiH
aqr48rASXVMTR1vZRw2LmGt69E07i6iVyPJf59bvzlEhY2TyYtjbAKUONdvmldXYOZoWL05vXbuV
W1na7SPkCdAwc/LRxRX/qZVSrqNBWl+dIMbJKMUcwu0CzmKB/3EGy90ZfF8rJpo2wtqG57ADzHNH
BMd4yyEEizI6sCdTxHYotOoeb/n1gP6JWaSeUsuAlVF9kIFr9o/4MAkQKWTDy+buja4K45x4xE27
1sx4XU+169EFClJOTnTvRmZ1CMa0j1l0i3lllAwba8PRD+DtjsM0QXHh2bzWY9VclbFXHuOkhJ5I
pMF2DBj/0UJ9C9DyHEjQGe/yarDesREc61Q3WNJ8/rDaelNieg/Hzj6NY2Y/c97Gm0uqwFfiOpgz
VcjH6Cwf6qjymJYlHEiHrJqefQLn7nTEzlhw5N6tRL0OlJbGq7Su9hjd3+j/FV8gAIEzQGSrWGAg
CWYuFU7oTZOdLISP9pBrWJPgCOg3eWHLbdv3DL6MJZwa6dCt7efQEbKsve9rzWWpC+K7Hqztqnci
77bXgxK9tjVhyYjsNzw/7pPbdmKfpt7TmOnFjnZpwjmQoxyW4gncWKqS65QE4bAyzENkzcbXRI/U
FlqMviOUhzChlIB3NfAwtjJBO5XTKoynyT1xuLCfM9vBljxWWx4nFuAqozqN3TrYYYAMPkC6mM+j
tEmuLYIZ1UJhP0DlyMKRM+zWYe06FVErngzH8y4TIWBbZ2hHcl44F66ariGoAqDv95lRkxnKuEvP
dcZtkJbkQ+BVLiH7SYnPyS6gZ40SnzkDhFUwY6nuPZcDvR2DxJvG/Birct/lMEJXjq1dVVM2Xmbd
fO5SrdjyKGKVnbNFLupwIPP6c2E70aPIK44ZGDhylkBEZn6X3vl6M69h6/indkoXvkOCil3kKwBS
zk0hHQDdiQoMhhZiPkxTNVy7jsa2U/hazgPnlkcZj7CxMiupCHeZSYci8oCyFDwrjxEztOEa33b2
Upi2u0NnXrLljAAv65kYT0Df2ni7OEWuJprZVHXeAM+HePf8GKhUv3M8+9hAttxHQxcOxDBcC67y
qS0VXAa7Iu2eAQ88zLa7ou+LLa3N9sT2BC8BM1PqnLemKvuwSJwZzjhgpswrE381DJ3xMk52c6hM
76sxu9+jpqpfObGKV4TqFYtWqz2SSKJtraGPN53XFxcCx/y1wGPP0DvoZiKlcPZzHBr3xHYM6RGU
pbJxY+Hy2Xu5YbDH2G51o0FIi1fl5FU3tG/Ikzf9DElrT5DDzD3qZEQ7ZOXFxP94weOWC5hBLKBk
7XTvojX1r2WbJe8QAaDfmBq/sEYFcHSarLqfbNNXLw0nHq4bKTjbInHhFQ2aax2E9NlRAlIe2C3p
nc3CAIIa05DES5iaD5yPqUzzIrGPcT6270Vede9t39JEaKe++Mjtkq5Ci0PkVW8z4ys4ZnZ6zGnj
bVuP0SvWCYpw0gs1IF1z1L5rjtSKlTkPgbeZc6e8F/XIwtAmo6q2Xkxk4NYOFB2Nfky4PeCPccCp
SlHdJ26fg/4EVPXqGA4/E8hRNETlBOBL7FLnNiotIETroeVd4oJBLrUuUWl5FDEjL5qldtme0tnp
qBv1cjAwwElF0j2HV37zDBKoOtiK9uM6sckl2GE/5wjQMSGNVhRTwVWW6DY5HU3BoVVESKxXGpkL
LjDePnodmgF7etxDLFhFsVN8mD2An1VfWxMwO0AFrz++TGfAMIP5CXZGOLdLmIpnEPW4op6odhbB
SqG1EBBDekF89Uh1S3wXeDN2Is1o96AsSCkwgWvupUEX6MasndHYwj11TlPTVfeOQlHBJWTeGqqo
5vPlnkM/pJF6np1aVAzDrpgQflwHQzd8DC690VVvOjK5djUDlMQ0mLuyL8tnBLqkbuDzgAwpff1B
JbKdiAi0jejG7vnQe3PQeY+cynnXaRlx8dxpLDXmf8QShFwTnl16/8m0pi/Dtzhgju9YJMz2PaV6
IVIB39HVhHL8e5q1mdgFfVMzwAgW35qeY60MCSinAaC4nPO+pP93VGSsE7hQdZzonMSW2UHHGVZt
4CyKjMUlheTBM0XBzSbM/hUW/YLJKYEQEZs7k352kwzAm+rlCCm80oR9gjbw0cgQwdei0o/MpJu9
KnrrUsT+eIWWKX0CT6celWkPP8Zg/3Nm/J0GlSbxT53TP9na/w/piGX71v6nNWP5mT8kqMFv0KcZ
wwS0bZnE6Axh/jC223jYCSx2CX/EXY71/d/WDPc3nvuAFNmA04/9qU79XYJqWb9houBvk1GFxAMJ
5z+RoCLV+M8+Ly1e/iECwDOY6f85sJpkQxNpdW8fHOGDoHUIA2jKbtjNRIkeRVw7+5kjOMhLpaZ3
2M7elZPbYNIQUai7quqJt2il9iY8AaCM0eZ5JlLlwUXcHeNKcMt13NreGUtrezdlQ/pQtA4Q5X5I
D0XsGq+VjIhNyrzsyFhlQ3R2/XVA0r8fNb/BkZSpEfNmL+dvJMBRcETotcJozM173F3sqthcT5Fn
iV1vtQCTuvK6ovcf4uQF4JEVydEYWmihacH6VbCTrE0t9o6kPnE2icR4U0lf7KTwl6c7ZtQKGcO8
jFofALbO9WtjSqGZEmyDmqqy6q3p4W4wcGy/GJzezganBmMEkBWZlBU6R3DDjbBZ1IDxVnotrQ9r
4vyjiskNfWMozbApmg44vIGHMSODAJ0C8KIGtf7OEbp8V4oXsRq6VXXaYP7oq/yxtjOXsFqBx1YW
Y7anSEKqZSuwi95khB074XPlpxF8m0RduiqdvwWTml4Qo1qXGKL1HkJoc3YtDlXogMnXAqe0BfjY
n+Co1V/ZJUYGdjFmt0EMO8/I+Rgc7FY2nShYAArGcW7371pgrdLGmUKa6yc8eAebsLkNljFWOdi9
69aJrotcFgeNsR8oIvozdTU/Qwavd3U9OB/0VsBfZV166lxb7QiLiw4msfC3ZHPPOCw0jkkJOBJt
w2mvP1HSZE/xlAZfvNolfJc0OKCMrrqXg6ofgshOr2eUB9eq1SHM9VA2nzFHtldZr4t7FIhyByTH
DPC2VTodDuHReBOWdZkROF/HbDzbyfOYc2vS9+7Igsd7i5RlqfOsYcGR67dBw71Sxd1i/ptt8a3n
tHuOXFfs4W9bJ7eTYldIF/yc76UvNbmC5zKWDsMPMe9HmsFnXRusk6mcJauoim9IJWsfshmDJVh8
cSi0nt5ThPU3KB3/bNbS/FIGhntdx3Z+ICBR7rNMoOEoQEdulU0XSEh1MhNlczvWzR6VDKCmuHtL
ejg3OP9zY2PKyHsDXfzdqccCP7UEqDstdWkd2VvPl3SG2UyeLDv/NilL0n6JbfOL55cPlFvzU9tK
2kc6RW2VuDQB0RlrRwcYLwd3YDpnuvyOwYzSrd+YNGS36PToXtiWFXyDL5PsyoEfiudUPPqpXoQD
HuENELjilMVcRGVZWJh6oKc+wWzIO9ruK4KjoaHtaTx0VXnAReEeK1XvSvJbQrIRipIgqCy/IJMS
d04k9u6kuqMbzeXBzgsQObLnXMBi+aWrgvTgMZzaTikRAl7bccIpx+xOtrr9faZTGlp5loRzAjcd
1lz+QnDB+OiVUrtIs6hCLqhHwFeSQ6imxrzVmnGrhFuf6gaaVxgEW6fLil3EhOEaoBFjAHEZomh4
0SIklDlp1JdMJw2vNOhKhULpw7nUh+ab1cF0i2x9rfSRUYwBEGkQRq9hALL8l86bakm8wCxSCERT
RUDWFN/MbZXTvemWdvjkeGEzjO6C9yHBCibCpi/nFhsbpnsGZMHwGM90Ylc4COCE4c9imWtTLPSy
0U84sOT1VEbkCRraS8ZRd+lm4ciBooDWFTxBGDQlp0Mtfc4BXUG/AOCFt6lemVlefRWEs52iKgku
Dhi8Q9vSLVyBqu4uaafRdfXoOeDBe3MpbBYZtX+rA+jvQgni9Dz4oDv8qJgFlYJwcbNWwVPArnGe
7SR5hhyQXhXz8EpR6O7ZEZlqZO1wbmM75VZS2VWbueTETVpwVfR2c9tRDV5nuqohkaUC2iyNSwQz
8dYIwFjOJqYCp62t51wV5t5Fn7uhZ1ZtKWrN77MX99fKCeQb3b5lcwEz/pIUIn2kkh7Eyk3zYGtl
QbwDrQkqcYpVqBlRcmssI0kIpbSl4nq813u++pIibM1MVG7a0fRP/oJfWo+CfpPlZYobDVNYoNkO
/lm9n3dTbPW7EpbrIQ9m+Sh6chUMmW1I351v88GyN3IYYHVMnT6D+9NKplzxuHXrajgbQ2weAyPO
X1UNVlaZLjWfwXab8oifsOTLPV4IjuZ53QRfctdN10Wp9BcRNdGelSk5RJ25njDD3M6I7r5J9NBH
SXz7toDafmNQrx8ouwm6I/nsIiblP8bKj7aGXuv3yZCCk6Q9BJ0CYjSuaK85w52gkJuB7s89y3/f
dDPcuNGOUUcqYz0Tx7MyW+3klLoJK6cEYkt+2Q/HsFEyS2NFS/XL4mBj78+y+IGJKTz8rAeCHZZW
0F3quBb7KuGRXo3Sw6JM7x+gpBf59UeweJgZJ5soo5R2lQKkBuhd3A5DiWgY87OzuKBZazFE+4s3
Ou/cL7C533RM0x7maR8TdWnAiSNGU/J6OKybxWvdYLo2F/e1TDzvYWDC8YQ/oPyGfWd8BuTyxf/h
3KayxWtJr+DT1S1xoePxxtW5OL45ajE9ha25mMFTxOU2uNA0uRpRnK57Nfb+bd3Vk/vSutFHT8aT
j29QceHImjDlVgOaHwLP2ZEEKuddAWHsGiyQVn2RLKCcvYKBTMco39b5FBdH+hYNlLDMXHPIy09G
PJVHKEzeF2dy6lcdrk92G42JOHmJYzQPS+c82ok5Ry8eQpSGGLqKOyd7Z9RFj8Cpo9HZGEATAPpq
sNMPtZda61LTJxwgFSM+t31umVjD/4nFmsR5xvix/QzAS+3dVEI0KLoetEI5bgOy5UIs58e0sa/6
wGRApmuVs8oh1j/BjdX2nEUeyzkRm4Tu6JEdhDhRGnKETggDDIsxnfFT1ueGq3mcOxyDSarebEIk
j03gajRMtH6HCnYhGyzHLWs2ewJ/reaUpoc8opx0SVOuom5P8Agi69pPdy0C7RAq0aVAJLTOai0+
zDbR2GRHMKpnZHDsdOIVDCFAqhvyKolcKOixV7/2litCyJfTLq2HFDpkG2wIcsDgmYoKWRPD5VWF
Y4U6XIKN5zLve11Slguz2Dl6pH/gAuEYLXMJfBy3sWW8uwAz/OdW70uv/dbbXp07j1ENj7cL01qk
xMJ+lib/K+L+pojDsGci4PmXvudPVdzzVBVpGf9cxP3+M/8y2Nu/6YjJPAq5xcO+qGF+r+KgkPG/
qMS4QWn7/+QjtB0qNco3bGgeBnyOR//yEdr6b6CLma4Qa4cpDmXiPyniftH56b7uoLCi52KYKJGC
X+1FxC7AhIpqde6L9xjKTCK+/vRt/L3a6U8v8IuQsBktUciRF/AxPCc+3aLgLR3OhEnAF/7rl/pU
yP2kJiTGkOwm/F+oQwPqUf0X6ftkILNxwPBeZ46Y0MWtCs20dGTNgW/mtfPaZmPsf0uqCLbgjies
1Wg8CvKKyiNlbh0X7xXJucxOY+gVAA52URPrO/aH/jsuDz8trvrGbjX7pLtyPog2yKKGqZk+nVyg
1dHDhP88g/x7bLvMuM3qCqXHxKkDuI6Jc2bl00qGsjwwDMMAM7BXQYwu6iS/J2w9HphF2SVxJ2ve
BKYrIAJos8rePDYk2jxOo+hPQMsZBc6MvxASDamwipPHGrx2Rnc++/T41KtGptgq1+Iixf1sEt+L
AsO6wYUj51OGBky7V4QY2OXGGshKhovT5Vk3ok4WDPB2/1s1yi7tpr9ZNfBdcZ//90WDu6pq3t6r
n1eNHz/zr0XDhMpB+cKm46Ic/8l9/AnsQCtLlB50SnZ+loY/yIYsJ9z9qPtQAKBkXEiIf7R+XFYN
AyGzS7/IYvUI/tGq8YubANuv73vLMuTzcnbwqxAblYPEVjNrJwz2dRZwhA78qX9phoAB9JFxlMeR
jKGknwDnajs3da6sQBQErjGMdjyMoNWERuy4kKdz67r8/TmFYh0vz63/eS/2P27M3EcPkF45sRo4
lM3816jfw1jitR51h4J+hjvRI1ZOmHwUsINh0vgeY3QqnpAcDo53RyTVNLSRYzE0WXy1AySxEs1I
CKyeNJD7rAZQgMfJjpV34UDTJ8FNmnYbxYBzkbb7xOOFTl+SUAWgCSbUypvABYUxQhP/d2Pp//ba
v3lqHAwqf/nUvIn0g7yCFMHtv2k2P37qj+cGZI1h+az9uNI/G6P/3mwx4EOsQYVnY+nn+aDR+sdz
w8OGhIroGHsBcrCL/Pu5MX9zLH6hx/rO4B05/D95bn71iOnLo2kagHc9NKcEBi4y3Z98RBSVhDMh
cTiXygo2g1oa/5WVeWSDeWq4uJozHbORWmSj63lHW8IeHvFhUgK1QVk///Tt/T+2ZoODzM/uhuXd
2DrnG1TIOv0sl2/k53djl9MiS+oH2kdAE2PEk0yBvIpkDwzqFZJKZfdfPOgb6aop/K5moNAwwovm
1rNDOF/le9B1TLODJIFwL4TxiISPUfvkOtF3Y9IQBP71O/40rv68wy/vGHrCYj5x8Lj86oKwUzJK
SDjvztYIRGPtMup4HGwOWFtaIVQIwzQaCHAo9QDhuzDSp1y3dgVAbmPd4DR8p1aBc5hqkgFZl1bE
IhSJTmhe4+SMpKssuc17IqZIOmjXHoGmT21Sn3KhmB4zlHGv8dEOxY9d8r8ayf98GVh9dDi1SDmM
P7t1WUlicrNEey67KHiqYo58NFDpR6DsQQ1DGzu4l5EhXv76y/xFEk4R4lHbe1bAGWj5Y3lbP92L
jj7GOC/i8lz6s3E28qQ/k+SJnzVKnv76lXh8/uM+W16JYQQEBwwW7Bm/3GcIUaa5hmZz9qEZvNUQ
XcUO9w5EvFwmG73uGQBb+uQjNIQeVvzdTfPrZsWnNBcaAbwMl83015f3PCuFJE1021IlvRVZ77zl
7M9i58xFuyEJoEIEwqXfKVF/dqwr7ztRIu1BBZN9NbpWo4eWyoj5YmhePFqNNK114k/Td6mhjNU1
8sdCCEt2s2c3n/sfpdd/vT1+NYZwoaAnsGwsdYXNs7r4Vn66ULrbO6XjRBrozqh4S5uujVeMDzoa
PcwIyviokjT/GvsBoYtznWxd6N5pSF/K++i8ea7CCS9LiGB8+J42lveOtjrxjn99iQmt/vUiM2vi
JmJYxdrK07mYAn56ly64Tb0hh/I6swkyD/w1Z80ZA/oC1kG92YcNuWWXocABuCJ3iLakUe5Qwcqd
YIgU5qIu7qRwgPZ4QsXPKkN9AJYI+ACUo0fGxf6ak3SEbHeB/xCbAggoytryrBY6EKBFwrxiA2QQ
4r5lDDokxd4BtXRnZvEtvQ1rZOv26jMHlofuE0LkLjwiI8URsYZtO2O+UH52JRLH/wKUyj4mC89o
/kQbKXCsBac6iEcMl5CWqoWDZCiISHM2fpNt3d33ugYuSRWdt43aumfGYZoPdWKoHMiyBmSJzmD0
NfhEL6Vlrb32C49JypasAJIVDwZW3fd0kMjnYSrl9+knzmlYyE7NwniiKyPB+pvBTa2I7ANeX28N
Y8FCCSZ0JPcphLHI2yBHFTin1r0MbujAg5UC89rt2WpMxcCaMszvPPEyFmBmzSaQ9w7RNAykUT6B
OSowrrpVs2Eyks3bIffjrQZd/42MLfVBFjLQq/kTgFV+wrDGhYuFrl1tpniBZTULN0ugGduX/FVS
7BesFkAtEFtMv8FteRGCFe8TwmUvPC7rE83VAOmK0dbrF4UcgDnKAvHKuJO6rdUtcK/R8sYroAbI
ai69qruiQM29pN69Y4IzzflLq7RxSREJGpby6ps5FVlnIavp+l7q5y7vCBcmpaaed+Qod9GhaFLk
FJmJ7EL3NNR5k8UJseca4LaodRQOZCRhISmjiP2wE7mqN26uYj1sRIc6AMqkS8RoPnkqWVObBd0V
eiyLO0pFdJXhYrIXbl0tyaIberSWG4NfkHSyDIjKxbYUaROsoO9zAsbPlrromzDkEwwQQQ4jdTpi
6gg1F8KqYj5abNqIU8GW/mAxhz5shzksTUZrKHoaDd5ZO8XtbYvmqdhUcep/oJXzUn2tVyaoAtvv
/bMDZio6lpbXeU4WlmNbz9O+xQPYkFoXI8zbRO0w19DK2jLdTsItpr3etoUMHZMkkNCjgSV2WJNT
LeSyms+aLFDFW5abQxXLC11D+6RrxKJ2CCuyogiKg9UEndjkSefezT2Q7i0sMtM4JSppEYJ6Ccw6
auxBlvdsxtaRiAMz3/aSd4AeXCyqawP/auhnk1TXhU+QLkL7UjZENBv9sbEcR6zjyIp7LOIQ0Fep
1y4SI0TD83fSJgJmRbyBYm1NBcpAA0zXHqR/7oakGNfWOq1SXAd9hDRGU40MbjOc8nYItgJeeCEz
6hs9EvYW/EXs8HYDT24MrN3VAc8PIN4c0DocL/7eapnpltw+sbXYMkABrAgu014bgjsmDY5p7ptn
A3MKMxkftaz1QAVv9md4AUx+SwIurqku2JJiss/5AaDQfFtRmhjlFwi7ZXJEzy7GbQvPND0ZXdw9
2Ig73nBVoDnxDW7ebY/e3tq07gwAkKSijGBwq87bkIyITWqk9RehFCeLLM6G+9Zx1VfZJBYRaQrz
g59jT0RAEvF7HFFl47ZsBjja5LHal7ZzjAejI2oMUbbW+syNJ485FKpgnAejaTIl9+LWvMEtFDyB
Rl1uzixD5eIJ9P636Ms6P9TrhWiYqJI3VhG+apzYwYInBoPc3QWrZLP2jQB9Eu3RyLzNGuJ170wf
/fxhtDPVX3eo+zl8Mhu9BRTgYhlgUKMOVTXPpISZRTejp/GWD7+8dcX6xPsiYeaMjJlPgc6fryrJ
q3wOg3zg0ZGCJjzgJW+R6iHGfIv5f6ypZlcmN7VhTwCwLYln/5CoZuyv8dBIYOgoGMkL1OHMb6ah
RkvGv0MS5xOxgJCWtpyTu7J4wlwQHP0hTf2VT64U9wXs+TdVEga2GptsurO6UW9PMcfcDJBlmWf3
PrvFri1141wHcf0FGzDj+8ROUvNY+XHQn6KESJc1JrYaeoI3WTuJcSSnx1NP33KRO7dj35LvVOvT
kD+joI/bPbmJxcc0U31vWlrDyZo6wGeCRyx1u5VuETxruJixpcm4Ji+TZW5qVILGu2tPhNNlztox
YVWw7AEpWRGXGTw1mTbEG2GWPCazFlnBwS4ro/5esCBPR9/gltqoZcVGogZWf0v22rBhk1H1ycAZ
4YawkrqBnRbUOUfvOnttAvLEtYlj+nEOusZ4J98aNnpBO3U4pMrkV42FsaQiq9iNF38E5GEN+Ml2
rtAwXo+TR6rYgL/G99q9XWB328/K5eIQTLmg51F8VtelO9pXWgdRa5PgQRhO8aRkEuIgLJIHTiLt
OypblhGWznZY5UlLmy5Qg1+zC0z1PYoWI30xKmZUw2rmBDY9ys7SAn4Z82wmsgTmHLVIqq90MbQh
FF7rMovH4nphQhLNu6YnyWWTzguiMzW7zLodmaY458LF1riq5aC717aREEU+cbppN6jRuGrKL9HD
kDi0dPTaVmyM0Rqb9SBI5t3NPo0QUD0j/PspwvoSMkNw62flTMZD9ilVZKcLnrjXi/a2DEAYbntT
BtnWRyOpMBJ+QfWufGMFLdp7dIj0VGvlxJ1N5rLwh7s6ahfVeswdvZFoaesthQPMzdTq8urKa2Ri
3ZojmbaHaFyC51IckPF13mio7gt8hiZz9KLvrgWyGsrIIMdUnfh5soZgpx+m2ua5n1yXzAQ7Srzr
z1Pp/zopf9NJoVVBjfXf+4/r7+JNvTXff+6j/PiZ3/soHvMH2noW/hUc3kRKUnP8PrTgf3nUIyQZ
/6vH+AcUOPjNt2g6ejAoqM5pxP+7jeL/BgYDub4LQ8FHkWr9ozZK8IvDGGmb46Jks3UDpAzCuF86
/Xk2JJkxB/V+cqfkBf5suaQbWKpfjTNqDIxnRbeV9XQrIHMvydJDyCwlgNKmyy1SMuIGZhTxL1Ha
c2YsS44EPKfq+9i5SzJUkiE8QEkl4u62xFTC9iBebZD1a6BUclvGnEgn3Nv4HgPGC3yJ6T4qHIes
FlXik+vms8gc5o5+j6YTAndE7BQRekfX0MGZVcTFah55c90SR8oxpTkRTJ+t3MJCU4T8e6d4cybe
G1cevBnuf6U13R1OVDTgbUoCRK29pKLQHuK6hANBBibndzPmHCct1OytBG7f+qC82svgx++OlvMh
Iz6pkZgX25zybRDwCE6f9rq47HZ6nH9IZFA4PwLiJ0t97jbEVZIpVXdyW8+8ejKYF9caAZt53XVX
1RaKWvOCKe4hGvprQuPKVTKW97RjjatREWkv8nJAuaGWPwqE+cWV7cuXqEDCPxvdeGQI/YrN+bAI
FVaLuiqf8tcaJBTlQXU/Ztr8JRelvpZWAgPGl/22Z1sLcc2E3IIPoxUh6KeaIQFueQv1ynX41SRy
WzuMGPqNlWsalWde3cdtIJ6qqbefWDpJii8FrDLOjRg2kV4T48UmqxNUOstbuoczgVjasbOn+q0C
OvkgASYTH8d2HloSDIVvkoeqnH3kz+zsTlffEObVvNi5/+C2abWrRkCVBgfyKzcivhH2vbHHM4ZJ
VviPYpZajeZJPZJFSv+7QBUZcngqLmYQ9d80vW7K0Kt169KZwjoXuJ+QVpvJ6DMirueNSMp7i8ba
xmpgCa/NyrprRQeflhAPzuIJeytPDkLwIWWWxyY0FCOejaa20D3E0jBW8WIOycBHrTp/cKszKuL+
FKPJ6beq0ZxHjgDpyS5c/RVx/7BuJ8K/0SoTo+jwXVZbw6caRS856Sc11U53qBDuALDOuulDK51Z
2/l0VKKPKfDUtTAbQtvi0s43AjkAIG4Ro+7JjPv/LfT/X4Mmhsd/tdCHVVl+/9al3/ru57Wedhw/
9sdab7CgcwhxIcssxJdl2f5jrbd+A2RGn5POt2382AZ+6pkD4IFZwuD6h5b4j1nTMqEGEeL41F8e
NM5/1jP/AcT4qelr06OkP7kwZw3P0ekj/mdnifITJTSW5X1VxsbaTIi5TYhdCJ2ue5nc/Kuvs2bI
iiWLdmkQ5pnbwmGcck6i2AT0zn/wBz8/aqLLr8deXA3+kgyvubS9G4skFI1SNINfzQIBMRp53Na2
Cn2NmMdiiFQHWwlthZq3D0KauJdPwzPIdSKz8WxtjJo43NjgNWm14KsxSl4T+dM6y9uXQQTok1I0
+0RMhQQrfcXxpq9FwV/PDeQ6EOGbgxyaF4NMipBYBWuV0TjYFJH3RDrlXWYZXwcICvysfBEV8xGc
gKux8ijIXfNiJODnTYx+6KXHbqM39YuLA3fVNdTXSuPjlRRmSEZZRwfNOzSNf2C976j1+WoGeg9x
V1irOcs/zFwbCbPiq6z8pl3rNb9U4BSkFR0/8hH4GnT/UJDVtqZkh36t8x4GaSNFJIB91Sdmtc/s
Rm4rgb7HrQFQDLl9UX7fbZafzGya8impZuibFp3nxFcghcU+0xnzJa6IuZkEvayWl6T0d06OzR7D
nMTEXMkb+nTg6nP8mLeL/cRb1ItV+TGVePBqqzFDJyKOjOwJWjCBiL9FQjP4HoKHQEfq+rnmtzqU
sCUccktByoKqD6iqAXQ9EIGUX9VsRsDYxbwldXjeK59vz+IEz3HYO/iG9vB5k6T1hAzWrtu19DC+
U3lfigHsE8HCDxyjB1oLC2BFdy5DypuKs9w+IGRlRJqRhlTFxXj0gs7cDJz213rH30VocAYWChi8
as2Ntxw+3Mil/0TVgzuKBgwnizP38wdxT4jjCF8AiZB+BWLEtZ/5tywiU2swtHKtOp8M4qHiZwq+
pdZAs2sy+b/W6zYIm7Z5+bzemD6Afghuq07xeeOEW4aURS59zYi1d31x1I34g4ecu5oBKgUsd6fv
catUy7MQ1930KBL+1fUJvzZ4Izx5aP1knp57vi7P9h4mWj4bVfOckNISHZVfzNfAOmQYeO2Ll/ML
XY8r7PfcTD5P4+eXAYZnCJXGX5V58bWolLmJqG6PwmydjR1x04q8jY4TWue7osUnZxLosFINBwOr
k3JLKo+JT6bS10WDzb/WB95DnLQnv9XgWDGAubJq/Kp1R4xQ7vFQomS+ShUWQRTz3GXlYmZVZX7N
Nq8vabv6ch6kiTXFAhxF/qGLIb0MiXP+fLysbJ73utGbJL+Ss9CTbLCqesTqesHlJvcKg2Kil9hd
wdEN5MasaQURDLRcW63g42sRpuqBA2FscAuUErCARd0Xft7ls5fP/5e9M1uOG8m27K/UD6AMcMxm
bf0QQIxkcCYl6gVGSiLm2R3T1/cClXmvxKxSdr3XS1llJiMQgQAcfs7Ze+1d3XT+HlVrvqUF5O8I
QCjgorKFeb8A1iucW/w2tRZ2NjPLGJ4nubVIWjm8/8xSjSb3AZcR1ge5HfCAvzRrDpyd8FUXehoB
CYLaIfJNVi9CndEV8hMY+RvybBPlNnePrnE3l6b00bEY0UnvVHVJe3G6sid7743Zq8augi0tm98o
F+uznjtCLbp2AJcK3YBwhMuZ/tnOdbjIqtKsLjWy1wnPYfkiWxqfDIsD/THKR2vvJwXebkygl5Ex
DoHVm07gSt0Mae1ilxR9dxwdtrf0/LxwSkv9oNfw9DSso2ylDBa3kZ9Oc3N/HylxCzTC2y8GVAOq
dbFtrGEIbMy9Aeb8NBiVwV3kNjXsGVaw0sUu+b42CR90wftNS3d2QOrObtuQyY3dcUl0tnUr5myG
gUBMkc2wlMcOeV4zuUo00ckFymvieGkSUw441nSl3PwN5QOnZuYOeD/XEOJhkZS8pTL4Xa2KHrg1
yT7UPJslcNX/uoUW3WDVpcFat8Xei9q31uVfl2RDctPjKk1ZTyytSHdG1331dM3eVhqzgLp1n8qa
PkeuJTfaqK5cQjrwFHvxaU4nXIda0RdGSOKAvhVAfCH7TpqjwqUgugpN0rBx2BE4W98zeiKQli57
FVk9heiOfTsAzPlgx3kR9h4b/TOtZ3VKR52f0MR/HOENNCy1zUi93SR1Km8S3JYRlh42f+6u6yfy
R+YcxBr5CV2/Rc3dGIHTttqpidSLBj/lW09In5XqABNic8rfvNbUFuYW2kL6IMv/eCDWut7Rnpr8
ZtORQh5gEeaez6xBC2MeRSFT/ujsj/Wi7QoTW+wVA1XPJRvCIn9JzovUPs8xXrdExUOBAc43gVt3
BY7Cds7b9MoeHDFvY1FF2h3gJuwlrvPw01bsX8zfP0zM1n0NLlNKZsfFqOl/5M0VviYWMEvq4KYz
IllM+mnOw8WsvAfV1SaXFXedBTsg/P1xkSL9PI79cVwLIwFqb9019Q/7KYaaYoZNog7GCjOZwC5v
zDT/Vo1ajmA6f/v90T6MmX8cjfklVjXDJ87nw9GWMSZsfKnUoZi5QNadgJ/j04Firv/4Xv/t9vxN
t8c3TE7qb7o9aS+79Kv8R/32D2aUqnz9VUHz4/V/VgMIxXT6PWTP/ygG+D3/rAbcf9JvRdexsprf
mz//o6AxPeRlFiIvgi8g27kO19yfyjPvn4RBmSvB3lkB1vyn//t/fhl+9x/++Wd43lqM/HLxsluz
UcYZjPMZppvrN/95zDxDwzcYAeiHnHy9Mn4rYu16mklGXGd1oADKVD/1aKuppj9DOdlkZv83t89a
Kv3lI3DTAgPmOwufhKtfPkJtO07jebF+qIn5vIqszzOT937ItxXEsVw0G122KvQBsRJaF52bJkYE
J1BcjuLZYsu5JDznaZLqzI3S2ttJmGiNS89/jcqx7GHDKhvSYSfltflqTSV/xKasgvWZf8nYIq7/
l5yKjZXOj/1S79Oy3/Tadrb9A6gYNnBx7lyy84GPseiSNVTretMM9ZwZslk9zV5OH9YwsTl7m9LE
7SBMmO6MZdNsubVkv+rv2Kp7GumIGWu6NPttn1+imb+l/aC2UxVDuMBo4fjPhqlt+9h9wVJE0ZIZ
THzNAAlPULb+Rk+SraqJrpzKgHHO3aSRiNWOpL/3JFLK5gtNK32fFuqGsdcFldPrEgOFz/KgdSCl
OQsfY5QS7k9VfS0nS9/nmYdXTR+/VkS9xo7qLytGYtRwTdA4PQdbdmluXsclbKD3W+a/i8vfLC70
BFYV1r9fXa7qTib/CF+wo7/83GP444V/LCs+ruSVgmwjcAJVIYz/bSgbOgJ5+OwohAhS+GFz/rPJ
QDYdgj0oQg5lPxxabrU/lhUU8qw1NCZ42XtD+T8S5sEU/eWmRkmLBgsJrgAvbdPr+PgwRkPG3GRy
xeUCdzhe4PvHs4zCWuh4IPuzJi1/27A7lJvBs/G3oedfnjVROEYgUuPQo5K7jPjs27kFPBLPOAbd
eunPdVwdErIMTl47uqFV+M5FrSrtvq2IZaShoV2AZTc2DR23+8FrpseMkXWF4ynT9kbT1huqnDZw
+h7Jab0YNGTbtNr4Q2QS8ukTssBrNokdH/IUuoFJjxluMzjBNrodl/Z6gphNvp4OSKUxDu1aXKOD
BEtTOCfDItVB5X6IVeabso0RMCIGFNRyWUC4wHxG/s4gT+rQI/WvCTXApi24zaMsM3azvix71K+M
22Oxp/FXffLnIdv2lIBsI4kpmLrrLp8hY8a5fOmENHeFW3pBYxO3a5YOxy/ZenOmrFBWnn+Ye5Xe
uXFSh4z9lgMOKh/o1RxtxqYZDrHMrrvZB2rQ58u2bFOD/rNP81tvTLjqthnGKfAnmAaUwkSnnvLU
PSeGHyG4KO98He2xJOncL9WhAcCHg1uAqfNrkmkIywtFpO81gLOglOcnWw5zMMj1SzS5DKWC+1nM
ihmorUHE89QrAsHQnKby1MAcvWg6cPWmYCK9uDstLZqdTZh4SJI6CzwAnE1rOwc/8k9yrrE0ro+I
dIm0p9mkM2Tqyt72mMkhsE/TDrCNv9GQSR1FnWT0HHAa9IY3YJYcCcOdDJt8b20O+0m3EA7YILc9
vHMKtmVLwsLWN7IvDWCeCxBMR6ybKKFsHK0KC9zGLOJ9YhKw4LekxReFts2z9qHunSdvWi4zwSMg
Hhxrp1Upjk99SfZuU5Jsl33JgE/uszrqghFT21ZHLHRqhf/dWrQslINvh1wTD0VPB2lcDf5dfOvX
Wb1TMVmgIo6KIMeZNHgGE9we258h7WMrMuPLDMQjyLv+YtLyV4yozHkTr8Gxnc2HVewSLNSIVCtc
CwxtcObGjXVIFsoLSPxToJMbGELnIl9RlmHuTlHoVD34+npu94bHL1ib8IgcZi+7yMweO+HE50pP
yp3pvTLF0U8MTtvAbhztAeMI+cLKSazQLdL0DoyIF1QEv22yPKF4TP3uQa8m4uZcP79bqI/Cvl/O
7L2KnUcw85agFebRuSqZmOvutpoMYFZC08k875atvuTllsTsBFACLmGUcrRbmF8cDdhsQRp7w0GI
+CjtQVyA/wB6jQL0cYXC7hTDqFBYmRs4sT+GSCTbjW7XadDbmf6IJ03fSI3KpRxaSIkJXjpfLQYj
47y6zzVzvokapZ8MuT4qYUokVL1MhLbsYsZwkqWD1w7FsTn30BOdTl2S+Ejh72iXFWzzfZ07V5qV
v6bw2YKs8orj0LpgqTxKLXfhfDZLbx/cBAJTaupvwICoysfaPjVENW8yR95jnTkq3N0nj7ziNWf2
jjimFhqoySDeR9y8jNi6LYrfjWh9etnFXYrKIzLUTUHY5kbPUkTFqfa9tJZ5RxLmRSddmjb8PTqi
/QhgGBxKVUHX0boAZFvDLHzoN4lr0lWw0pe2xncYe8t9X4vp4A7oSKAMaPgElAxAT89bkdbAkKuW
Syp2uvMs3J0qxYvP3GTjpZnJHKW37yNBllDp+mBvcQ1yq+0nq/0+II3buAvB0MCIzL1eGMYp8op8
lxWko+Vz0+PNzVdiYekdElO/rgvxxXHADcRWduzt6YlkCURxKVmkxWw6R1yu1QPW7E/YcEcUgu53
IsPHYIhSGUBmehCGunAt2V01njil5E1gp6iLcwHDE374TUFvOozMxAuitn3rOqWHKTaGjb2oem9Z
xOqQl5NtWzIhLpEhdSSF4Ou2zcg/FPTBejP54s+e/zBb86GGcXyxOJnaDWJud9IrhpAoC9Ifl+UB
9Vp6A9vtMjN4CLG7mzY5iKwgN2JCLJRt0wWz72nkJaEj2/Ribvtj3OFYH/D2Yx5V5JAnPF6SsnWe
i3z6PEaKanh2v9VKMHOLiwSxghz3E92JHcFoduCWg38tiwFOIWLLlsg4Pvh4xkcbBdIW9D2juzpb
sFU66W5qGWiyoME7TLRPymco2WrTNzPFXGkWSh29YelYa4jrnJH5HVh/01MyAJiIwRUy6YMWqjo8
a14hzH0Kr3cXu6O5E0VD8LjVGPvYzT6NQ2ofQSs9zChmeozUhFbGb6bWuKeiKqIdk17wtY1j7Owa
VK5hlfoJITQQeYsn+cKquusQIYejNy9mhWe+r+SjlUpa9FyzsJarA1bl1FrBdS15Uk8yGkqXW7GF
8YVshKuv9K4ju/PHZtXU5etNVmel3ZuHllzswQA/6ojo0VSIj5wcKEAH2hWzO82RDFzIAiIKepCI
7DsQRrTonuthqkiF6syhZ2iegdJ2beJCi1SDbor+bum6/yo1/v+CKnEvI27499vry1qlffryMcH5
/VV/7K09KmzaKxSjq1GFXfb/DvD8dWuNdwWXGPXqj9nen2oNYEACYbyPG0Uwt/LR//+xtxa8IZ4u
Bg/kTTH8+88GeGvm5c/1Mi5XrC5rVqVrA/OncP+1Xoa5Pqo6NbqjXUXQpVEBG3c6w+wz4jjGRW3m
4QcDn/Haa270QJu4O85lFZ20LoUF3YmB3apLxrruVPucvAG03UT6bTwv1x48Qp5DN4FUDnaC/rSR
ZNO1UWnqe9bR64ewVjxZiBjYu9OSjhPC6GvdSqawEu4QMhbvAiPWu3EvS2051C27cMUU8eqnn+zm
x6zy567Fh44bZ4CACxoWnAbOqfkxTSObCf+ph6Y5Tp0x3RBc7BNTyDhRSLl+Lz7374/3oef2fjwa
86aFCdDD7PehQyE02KxxnjfH9xkFfvvXGEgrCCTOwe+P9MG7sh7JNQnzwXpr4y9cbY8/t2MWBfO6
B7Z3hMPWhyKDPOjPNhoAM0rvB1FY+xkF9N3vD/ovvh4uiPfkPYbCNIR+PSgUs34sKyg4bNbgsWhQ
Ejc9aax2qCYbhP1/fjSbDB+qQlreGB9/PVrse2NalRkPEX2083PVAVuenM4YYdD7D78/lrG2r36a
da/n03e5W+kNE/eIw/PXg005z7wy19Njm0wFgpMEiGbYtsBqvM4AOzwn07XqlHE59vlwWMi9aTAm
Mab7/ef46xlm0O6tvjAiHBjWffhZC6Mn1FWZ2bFV69N76uceIDuB5r7TMCz4/cH+eg3Z+OJtBpfk
p1mW+NDS69Dcm7JzsmNjLMvt+/RZatzBTdLkCR6QFIOzW/m59zfH/VdfksY0XlnH8bHnf1iX8jgD
jehA16vGdmBTwq858oyEcZsypf79d/xwLAwxvD/OGCxjrIL6x9APK9VGY0iADKVGG4ctelV6fnpH
mCLzx8ffH+vDevt+LPz8nEoyWiw6Lr9eQ1mJiK3TuIaWeQGpUkdueSpSczDC3x/n15YJtt+1n2PS
uFnDYLhcxa/HUU7Rd049pccIGy4EmxEf48aaKySfg2nfJ2mKi30C2Ij1pWuyaKuXcfJj3/BLf/jn
lfXDtbN+BgN735qx5Yq1SfTrZxhmI08RIfEZyF0KAXG1AoQUzdUIzT8ALg+fn2POf7Oev5/Cn27T
9bCCJchZxzc8Qz/mFg2xM9RL5KbHhNLsU5c55ckxrfmqyapk35lN1VOREViOT4gCM4hGcjIYWlbT
N8Mp2u5rM/jlKY+q6IBSuDxFacT/LJl2+/tf6F99TpsfBqM2u4N/oZNkUz8urqYdaKQ5rzMKly4Y
2sLnJyqc0TlUAM5dGAWa6+KsGPMzkoh57beSNany2rrwJaS1KfXMK19zenfnDEmdhRCd3GH/+8/6
16vWIxUHxalhsyNxnA+/JMprWbOVhe3n6wC5c7iUOeV3L7e/P85f70RsvmtwtUtO8F+D0lKNfkgE
4oqoyXq59dMVNlrltX1R9JZ9//tjfVzOuU6YsGGS5+m4Uhc/Dr9mr7d7a8pYzmuS32MvGkK9IO8Q
amG+g76EGI6Q+AtDTe6zVlY0cmqirv/uQ3wEY6wfg0mJq0MTWKVcH/O6i67RBHcGaRwKqcTRLQSL
qfQnsznGoIJuNdPRX9/1AISdvQNNExroKVE3HqJU3b4AcBidfKXmG5o9sHL6NgOd3hZSYTTMUWsU
CaqMBCDk3VKY0duAzurJm4vlvBTdNNJw6px7t53ykyDe52LodBbcvhzFnU2X7N5JGv0gDex2CV5R
FepNqj0gJ1huZ2SaaoMBZrguO12+FGjcXxdwtedea+Zl409V9AaC2W5OVdkCDq+GJjosvWH1u8yF
pL8x3W7dI9Q5XZIKYOVL4kfG10qV5uNomg14RMopENhTZL0Vg7SQreNZTLY9OPxzbHJnWzZLi9EN
6atKWLxrMmDf4lrzRFCVbBtXUbEXB2Pqx2qnJ461Hy3kNmHlQhP2XKQhNK7cZ/q/RJbURsb1xt0f
E19R+xy+aTrt1hP4fuDZK/d5sSI7nHI/Prvra3u75mOg1LW2VLM9jYa00B782pzPPGeKp7adx+v3
0xs5o9yKKtFvGxOmyIlmZAG/y4gd8yQgNpzzmO7ntl2SjJiP99VKGTOtlIUVCqOV9qWqc67IWp/I
ssTNvRwQO3PuZttLewROevKAsdT6pDDnaXT19OrGzIVLhqTF+2BCpQEtmzjsIT+9ooeCuRV13Rzv
fdwnlMCEW99nsWk+etXQCTJPOLelKdJXvAkCAUNtvWR2i5uNmwZ6cwQH/tbG1idBlICf14d2uk5n
a0hC1zLSL4WDjW/CHfVkzLpFKtB6HZZjHZ08lY0xrlew3uEyGWxgjJLJUDUUXEsuRqFzPBIgsIko
veaNxPZ2W9qargcLrf5QJX0zB8gJfAwo2bhEQc8FttVJnX9JMAAe6snj6gVlOt10kE7rg0qoGBy7
1h6cBBHzRo+t+RxrRXbKvWLrL6Dups6CGKoVtFAy1zjE4LO29Cxswk/q7jaGT3XUva66GOPRCsA3
kX8jeiCiZrWcFFbDg+na0UMs3W1tqfyldVAozRyN3AjbvS4Xd5+ncLExyE57nX7Vs+dx2zFV2Ov1
LJkcgnpHUrMEDEBEYJDkscNrVQZWVxV5wFkVT346XKcxBp7M8HdJ0pq7USX1yecm2SSaamBkj/6m
LflaRU5aX5KjAJkHcnVET3dJ2tZz5/bmGfLMdTdJ1GADAToDgQcBDxx8ZW36iLAN4FrfiAtAPYEO
7jpoZDXuc7/Ug3wxCIAAzMnslOSl1E/u+mR+9Rvx0iit32ZaSfQijJwVri2Omu59pgWCvmxAlx3M
k8dTTTXiS2laJzw6JHyI9CpxUsKgLOdhGKKLGp/aZ9mIZZvA7z4lRckCbK17pFLMV05qmme59MQ3
pAwQtAF9DjGDlznuKiAfoOjd3qdR0oq4/97qpPTMRp3BbI2GiGCf2MxOBpobctMBxV4qoLj0eApM
FmAJxPJoL5a5m8YiUls5CP9CGkZ7zUbJwgvjsF7krl48AiOJH5XQx3twBuwf6n71jNJJnc+5i8U5
Kh13Z+XS+5aVaXecIMcdk9YndRpPlXmGV3Tn2eN4547zDAtVqe36/LFRjDYDWdVNW970mMIDlzut
OFqaxVZAkPgbdDN7EfJ1eRZWTh+QMpiyFFW0Ta2IJ4Ib++6hySh9FNdfWLLN24FTt/aK8I8m6IBg
Xve6fKLX1YbGCOHJahfAl3FRe0wInNzK1lSA8kIjDGJXZVjVdOIld46r4k8yi8cLph8E0UbjCa+f
TiPYG/0vcGd7+pbAtFepaach3+mSk9myb98IdCuHZSi5MDP2DpQIhQaBsHO35dx9rmrPJrlADs/K
qrw3aU05TPzKEA+itN1P04g+bq+Tb4bqd0ROWiv2Y9XUHppl8a/IFXJuu6JnqlOjpdRk6x6ooP2D
P+EO3DSG6r436DC3iA/nUyvNs1taOnj/biwCyzcuLRs3aB5XLkmlhX8Lton0gsiMTIr/LLFoU5C5
o6V0qw1IAyd+VP9+stUS8hBmxFhpg/V1WvT+1pUaXQOGhaFXtyJEs7GNnKyC9ogldT+6WrFzPDnQ
q0ytx3zu65tY9uamjIzsSI9dnDmDaWiWQ9AOkbEfbJsL26/ODu2DICp9cQMskfBkYq4u/TgGKNws
9Lnt1iDYYKz3BbT9XbH03ouSfCUWGizm/ZiagSdrQJh5ZHv7BDwxfcFxHef1UYwFdDKvlO7V1/oS
se33zdrZND1pCds512oLocFQ7PGHuM+ECtHEYYzIAMj26jCK6NaC7Jy/S8rxS4ml55ZMHOwPZuMP
PZ6/imc6/HySiOrBvqJib/Ykb7gUAEZ9KoxZcnfJ5gw/oLhpsIRce/00HcyW9BU8Pt6hnBb0g16l
oZiNiOtqp+icqcrbW/FQvuZV6zrbvPHbT1Zsk13oIPn07TJFGoxI8Kgxj9g2WdE9uQQxlbw15Mfa
KgLfJhsm6KNleNEb/KosAr2G40Kxl/UMXQZtUgHxzxZ1QYYRJOU62/KLp9u8FF9HDfhqSk50viHb
u99WcTyfXV/Vr65RDacFMwxOZp6BbWICBLXnKER6Lm8MfehfYbKwZv+A/kU+gBYGbdY7EFD+wANi
1vasDVz/KXlLiFINZNpjPootkNcR/vu31kmq82Q34iodbfWoxdHwanWp9xwr8K7Yo3ytCCd98VAc
2ohQ3ZJhXFkdNMeaT0KAPd2WzvBplkZ6pedli4IRSO0ma9HBpoTnBOyi4qtZzG4oC7R6pmijo10X
k8mnktPBqjL9jO2kCLHZ88yoxTyXAQ16Ak9ZnBIF8bqdDkYEvddAyapCaTEd5bG1xPeemYk5IL9R
HW0fqEFg0B3iuix8Vp9+0R5g1eo7H/nCtuGhsDf1Rp6aJVVfG2ojKgzktJVWchYgWHyJALXhwWKL
g1a5YUTsim46OLoZPc22MF800WhvwlHjZeTN8YON1zwwat52sib/0ahS3E7K7r5EjZWyndR95tXp
IxvjiPEzo8Qkb+8c8wmILtPnheU1KiIuqvIJ9Ke+0T3tzh0mEMNuteDq9XYMWJ1NV8k5sHK9xK65
cmnI7iIgp2POSo1NJIRVB0TnvBIZl5DWR52MGh8X1+zEB2IhxE4543fQQ/6eWt4K2k74uxzmSJCX
zkn0pR0YDAk2pa12mIxJE4Z2FboRl7OeTcbFbBMusxgvS8MbJ7Xy9kyC8g3pXMXekul03zoiCYTy
4nNWDW/4G0xmCrCXnWFgPEVjd9vTzQLmORcHX6c9IKZh5n7u1J7cGR3EquFvqPF56rAROlmqtrao
g1s8ybK/1OWUXebGtM8dFFEmG66AotoJ5Thdj45u4I+enIPdtUmgo8SnNIFjTFQxD4g6upmMnuFo
kTU7T/bfZafV20arl73hMHpHo/Slm5FrdHPjXMiG3sES60est7eKxJSUUTg4i5l9in9Vlf2p1Nrn
sVyuVR6dZO08Nl10ZsmlYVSk8oIh71vWxk8gpu5cwiwadtP44IsXX0/H/ZLTpHSl/4pJsg+WDmaB
rxn2Yw0IYgum4RXnOBsrLWaRT8SxcDoZoo7aZaohedQdNyp2vjL8ajaipKu9sTUqgnhU6hNGxq8Q
JI4M6cSuZXQ9BrM/x5904D4LmlYvP2HLIEaQKSnEA3NvLNuhTT9Pw9QflEwu7fZR9wb10OJ12SZ9
eu+acXJwiQ0NunZQnzXRedtpHORhoIa5VKrTsP0zeNe8WT/ZZup+dggeQ4eGyy3sMcsfUwRc12rM
1nLC9ZNpX48GW+i0yy2c085yKQdb63ZJOd3ZwvG/6Q4UpBMQJBo6m9zvPX0vBjLfLqRXkiK6aZNh
usFMtr6faPPsZabpPNK4MCJ5jLEUIi0f86bb0NW0snViXBg72M5E8eTshw4uqgftSirppmFPJkG7
IWEV00w/UnLmyMA7ckGfvZhswx7vBVc3RmvGqoxxO7YiFFKh8GrKopjLXoU1ywt9pnWmMdcqelbM
6baRxvS9qoV9kaXLRJ7RQAncRvMZlDNVcupqZBS0jn6VaXY6bKU/U3Yol2Vp7BkwV8ZanRjpNHzP
FjFeZ85sXOoGBgCS85AfEyr3HJcaTe4Yz+6d0dty69jAM+h3DfprXY+OfZbJsJa8eDjnILGb/lNb
DWwdCs3R941hdkf29ry15lTYdmoK9NCe42UHwIn6anTkF6cgFDjt2P6RedIgdl+Y5g4VIIU4CxYe
+UeBMyEAdB+dzMSmKdBT5HvKpUewTmrej/fuCpprpztGDn5L6oRhDxyq/Pz+J75XijvdoexH/uDv
XdteDsLMm5e+lNRgUyfoEnjmeD0ubHs0ik1mPUvl3KMbnlcAF2PlRLa790ZxU+D4ElON9QIVCcaq
tMGhmib+nsyB6FQmY35yFlntHeahnxCj8wUImSnhSEzLbU/j5YbsVuMzCSr86lWu85kBbh07uyLw
bFpzFbVEP6DqWM5TM88ymMhiOZL0Ej00NmVfO4BZDpink1KtraQ0pQpiL0nJRGSULnRFaF6yGCj8
vJHe+SFIN5uUsohYHK5/NKCX4MebF5p/KfyKjI6it1xAsekFZkkf8yXPDol9N17qnczH0bosWqlf
IdeyL5h0MyFbbJpX0ZKf3q87LcXANmT4ssxFFk9FVyy3ieyxXA2Ttn6+pIkwatJdI77AWm4LtZ6T
QjFlM/hHfqvpqkYicXJoUgaWgXkI00e1r9dWXI877uzO0Xi9FCPGDhIjQH9zBUgLqCiytPUNi8y5
j4WvbX0SQcOmwFYjXYxIU+Xqn0udl+QViVPv9o2mlpwtw5m4YA3Tnc8Db7Sdlw5JUTtq+ufEsK2M
KDrMHETiGneJxvbacOmzhu+NJ0MT0dtiWDSVMq4mc+GQ2aTVL7QSK1QzlRgepZiMSx+1+2kgkvAl
SvTpZo4Sbh0t4RYGDclscpQRGRFG/ZK7vTz67aSZm7kfCn0gZCMy7igO+IaVcGh/RXGcswOOxmoP
MEJcUrd0n6S/nt5SL/KTqjlNA2KTOzKuSZpeb1jR58m3cimbF2jSHBpSx3AqSK49SlqucHE9rX8B
3x/EZIHeypbX+YRNX7D4viobTVNipJQesvlK6iQuH4Z5+37ocONIfh2JXOBTO3EHRmr26VhU/l52
mJ/i2pnPJi3wc1MO0XMHGAKCk7MYF0UsjGsEAdHJLtagIknlY4cVy+FehzGKBafjJ7bXq2BsaM3Z
jU1LwbYwTeSepCYcfcVVQmDs6wrtfGEUqSF6TBru6bqz0U5SneLZZn30Lc4U4A7tYaEgeHMjuBYb
X67XYLd6ul27iU5pLFaWjTkvB21190EhoOzznGT47jnUyQEFxvS5r9Ppy7RmA6D9IaSVVmoTIwAk
YXYjmqy9NPqhuiIzTD2k8Ly+NYMVvaX15J8GOynmTTzyZLJStHSz7c5YBSuugIEAqOfMscm77Duz
i0K3psEdFk1azz/az//VEf+NjtgQ+jpg+/dCh/33uot/NSb88Zo/ZQ76P1fgg2+5umAwitjhf5wJ
nv1Ph3GpoNfumA68PP7TnzIH+v9/yBpM/Z+r9hhfFTpjVL7/ETgbNQSjpV9mQKsfmjfTHab7wnbW
QcNPwDtf1PCSaq84mF78PObJRCeRVDbMPp8rzbnvwNRXsII+e6XxmYBHY6fcGQHngAoUGRAZp+Jo
Eu9z7Nc87Yrl/Mj9BGFr1pvQXXO3abV3bwjZHOYt6CZqj3xubU3qBo6h32liTe/Gth+aBXVM46Xp
LtIqYnVi9w7EhXczLincBFleVCN7Qhh8a4Bu2257TZDpMFodSwdN/KG8nnths7SQL54RNN6tieM2
zcmwdkc3MOZRPYiU3WC8ZpTT5qUXphnIi8kv72X8ybHKlN02in13TTmXa955tiaf62sGuuH0RE+v
ueie6W6ttHhScPfVmpzObojId8LUa3BVdPGGMezWpPV0zVzP1/R1c81hb4qWwMQ1m72zSGkf17z2
0SIzGmjEN5mR5W6tqe7pmu+OL/hFDCS+a5Lw0TUDHoTCGGZrLjzbgHjLpGwzYkO9K9t+JwmRJ3P6
OlpT5ZVGjdmYJJRPbm3c0XYsPrNNbT4x3NyV/ngLtaK8y5lhX6aF16lN5hEuwXpbnLvGjNF/egPy
5KrNPyvyc29zM8H622syMM1qbcZC+L7HyBbd45SyL6x8Xlw8oHaHttlpsaA16VVXF+PnyCc8jgmk
/zSVZk4PsFbEWKMdu0wYHGz7EUsxzEzv1h3ZY1SFucoZBcQjaXrNs5tm5PVlLrtPWnnYqAs2Q7oo
4GBVC9s6GuZ1vuMh0126reD5nJoGJ4+pDqWUIk25Fw3Srz6KcGrXenUCrQhco/UqnIcpBTqwM5D4
2HXr+mIGRLNDN5x9ccWgERofxdWWFK3o6Z2shwqkBNyU1vckQxlXJo/5C2vNwyMjCplyE/HY8Q2X
AL+U5u+uzEiFwujJ09keMBLD+0IJHyMK7tFI7ZexRDkuR4DMbKBn1DseNFHdLJ5mQr9fO+WaRw2K
31r3S85qV/M3a+HACdSCYZrBLiF3Mh5Izq5Ok+QtXUFWRqhX8XwjYi5NW2EiP/C05cu3czzfEU22
PtSZidzljiJvE/dPHpgzvwPxX7yhIaek3cKrpreFanvV0zbPCfffPsXXQEgOcQ5hNKHRQJvHfqyh
R3CF5p14QMhNe0OZzXd7orUTqbq5fv9kWZQ13m5QBm9fCOHexktCfhlZFk5A/evdWtMaFK7J8q1Y
YyvR3quHPrPGgGc9LZN0/eIgGOe7Wdny0Z1K/rCIMnG0BxaR0DN5qjHdGPbZaGVf3q80aDUcbfl/
7J3Jdt1Ydm3/xe2HHKiLhju4dcHqUhRFdjAkUgJwUJ2D4qD4+jehF/aIjGdn2v0c6cyOQ0WQl8De
a681VxppdpCZHSafxmhHNU3zMEr4vpgxBY3v1E1/RXyzX8faoJCwr9zgicIU98RGNN0sbL+EdKGw
2OkQuEdka556CLBnAt1812yCuXvciv1nH2Q5BUeN/4Czbb6oxLJviSnC20h6YpfxiaS1JfKS98iG
kDN6VcbolUz8RjrkTwxmWIhlCsu+WRR9cz4doLS+RIem7KPd7+9WNVbNc57O4Oo6Du3YfHsdbhpi
YiSRXe9qqfVoQdI90zhb+O2HkdkrKCc+9ehtxJ/Ct7B1542tVqO1WO67OrvXIIU4RXzRiuZS7TXv
NXS3tPJnchh3dj/Qcpw+ZtoEHdRnx0q0v7wxuqB/0iVPPyims9vUOXtHZ4feX76mbedvPXMKr77P
bygTj2iUwRwzN5vQrptbz3uM+4rTUFeSW/6NLsiXzhLWva95hiPiwEAOMKNaAdDIvJrv8ymCrCW2
XdKcnTpIHuH2YYibbIBfTToTlWegOvhNQeaeaX0HAZqKaanao9ZEyvuwUBk7l/VZpxNOAfsnC11z
UVkuL0iXKJN2ZZ0c2/torf5Yh94TdibM/XpwaOlMkzf0i2+dEX7MQ0PTUw3pstQI2tVca7rBnXlL
jTCluhDl9Eb6fvM8sB5tYB4sn5X2KK/MqDmmYGUv++m5Rvw4R0FBLXKfbdgT+Qbn+GgnNSSxGOfi
WvjWiz/jpaXC81RMc8UVzXaOIw/hrRkOkqxakcRmNJxlipBtNM2bAu0aT3VjXmFDB+eWD/5BzL65
9RiPTatSG3L5MZfRX84sbzIPg5+5Dd8JMp75HlBhvrWK4ktvdYgQs0H2BOwcxncF4XDA9oG3rz8D
9XRVrJeF54Gjy2MqFocqT4wJm4VocpQ8q6r7zAgY7cw6nO+nrB3lzkk1Bu+6t+ljq5d22HHlqq+N
5d+XPPOf+FihFPmJ9egQlCBMONQkIAdDHIsad7nb0TTYWbb82XlE8AEh4KJsCnQ2+X0Ag7VVIaEV
YelvJiI1+jNv+4hm1QO57w/TNd/Qlg/mrJKX0ZLIc06hY6zVxaZxPeOudemXmWtz4/NjCF6oTr9B
5eyQT51tjwHxipU+3TEkhJ9YQPUtoHGWe4RaZwh4YZvO9eczKxYJBG0n4bShMfFFBPSvuZ1b/ewg
OaHOteU5aqtghZawPmiDgmbfHfdFx69NK3iLC5tvkIjmyXHRidNMMVk5a+xHtuG91HJ8r825fB9h
Md77VOZtyErMcevnyxYLN0akqs8p0ECKV5ukqMIo9ieRXjVoSevc2YlFlqpbIMNEahVDFXIyTe5f
e38yHnyrDakQsCfFN5EcD+koY6cLQV7Ca10+MTUZ90Yho8fugn3cm4bmHmk4wEBQwaqCPwl2RSVf
I5X3LIZLLnYcG+saJ0aNOIVX6cSkUBwss1G7fAKOC2YKLTRrp181XIsHq0r7l7HNxyMAZ/Xqq76J
S56FW0pyafoNRuQSV3JbCJZTUTGFVVobZ5MtfSMtWx2bxOs2su3FRiRzsseTG/LXKtVhdssfQUfa
smtZ7TnJmHdtwom4dJr2oGzoacNYJBtmhrupEXvXMA6pndL7Fi5vom0buUX5LYmSqxa2V2HFeUbr
ICcxChaQ/A5Lg3qSE6JpOYEjkIPe8spOPy7YeeNCNx1vLh0+zKMqn5XoxmMIvOvN6anJpB7u57i2
SSh/7veR9NP9UCZs7g45oxaI75Y+Bn7EHccmmWfeeIM2D1gvhlhGw4wtdPS+OnI6TOOEM8FZnmff
Ce6n3AYOE4biMNfWgcZGOvesdtfoJv2JOe/g9LzytGrKnc4FiVdzQr/WFvEg0SUnoCbXPFU3nBoe
QnkoTvPiT5dEhBmVLsLI6FKk5P4WFTxdrUswEJ3TOyGz0lqPVaNInxwf/ZQf4W5MASOPrmYTNYyU
V0KqTFoxIzPlBBKM5Txx5FUophw4OCWJtCo8LuhijWFIm9LzoZhIAfDeHgjO0UNnx5h1svkjK0JO
s7HvJI195G34SrPwk2FGeo82sBZgD+NzAh58Z81Ld58KrwGM57l31Cx/U4uT7xbp3/KoMSiw7MG/
RbW9LWmqe1CB9H50q2Aj7Hr5QelOfzdWgbHPLf2zTWd7N3q2xtytnXWHd880rY1rkXH3SO21fR0D
X91WWYLAFK6E2QjeMfkmOAsG8X3s03nDXdQF/UOvVmXkfpwKZMFCdfVG63wCcIm4L5EQgItT9YcY
8iUy+mk1ZFwWh0EbAeozsOHOuaqivNQqNmXjfmQgZLZJn0dnFE+/3glrHfrTue1/mFSnfwaFJ67j
WHfM8Z17dOgsOQEHejb1EJkxcM7F2Ba6L05IGBATlsWdr26OdwctY3ktkSnvuqz6YAFNYTDb1MSS
XQZjRAav2eZ19qGqire+oarPQFP0ACe674H25nrfWmb7xvji72zbmW60ACwbZqCbkwvvAcIMZ1kL
GtzZdCMScPPCT9pQj1+5Qg0XJYGpLCXRUcAVffmwHjAReEIn+1GrzgSYK/JpDzuVV4EZrVgoVsOG
OaCMws8wNXlw6NSzbjka9ivYKPm2OBVB7KyhUpCUqWvwyA9WtrE51l/w6DU7z1pCWh37Zk+zywSj
eTnlMzYMObJkoQgW93k6jG9WDx7a57DMUbMmc9YKQQMlMjofoZShhFhJxuKbR/0XgJEtFGKogjUN
GTHTc79w08vHRRdbp8Ni0qpO/8q6qkLK76EOq1HS81v/LCaIyt2cQKZ1umvRDhV7Fj4rXGv6Mc16
eaOVcdlC72a6RRSlGrGBxJc4+VZEITzsLH9h8UPxibJmT+1vyOnFSNv/Z//9l+rzz1QflM1/GG85
fX7P/q4GiTzB+iv+0Hzww689SPzHwifj+2tpy3+WpwV/sx1AECAY8B+jvvxdaJxFzvZxXbr+n9pc
XAtMBR0iJhkMLwJs97/CkBKu+XsJiFiNCT4F9zhrrkuzxF88q4VFHZcXJP49Le0c+2mMVRfKIHkE
UoOCvpjGcKkLh2WTGE75vOTS4wBoBz8zkEjPblCgalqN8wXYxPRKIDG/eFCTaWun8DSJJRV/yKRL
FzVbg5mvv5GDTWFVpuPIya5WiYHd8XcJGCes7sAEL8R9YGcRK5Mqw33eZfWpSmYHu8+gNtVspdu6
Kl0KAXDHwDCHlSWi4Qm7Q9/GwhyTa8m4eO0I3R1mXyuy5O34iWLw7lZYjlwCs1DEm+CAQVO+twQV
Nsw2/sl3uu9OK8i7TmHGksHRPLssZBWOpmzcPd8o474W5AO5Xet9hgeYyGsLsZTOs4DTSKX3WP5W
Jxkkrgcjy+xXmlyuLsvxlouY3HR5Zt7mbt2IBpLVujdfSy+PXiZvmh9IB64g7Oh1mkJ/p815kzi6
enKFoY7u0Nr3bVW1pwExgoM2TVKVbsaTRwz2Dl/D96hXrFiypv1V+sVFVejfZWPoH10RJKc58RzO
FVb5E09eu1tEaP0EfEvRQti1zTGy85/DYLe7aMynb54V4nlMc5HyvsASilcufLftodh5gcj42jSv
VV69KoM/ulaSwols1G9JD7WJwa/ZuWTWySKvvcWgtFgrADF5FnCeiL7jZXJ9LkiZPK2fyBelO38f
WiDiMb2VxRElQ+UkXgPaRIEKYmng/XswtUOTJUcyyLg+scybW1jF4zx3y0MyZuaGJLW6Zg6Vv3DN
J48/hUjumgg5uHhcZgr0nPx59Lvy6lVyvmYMT3d2xDLpZ8n4OLaq3WPRnj56OpnrGFxDvxkKQ/6K
ONrCbhpd61AFYrwyouXHyau7aw82taE6eEw/MxsbaSmld8wspLl4HmRwsVAbcI30gQnCfTZjv40o
AG5r26yhguiISGQ3fAU/OowE3md7XziF4l2BX21rp5neQyj3NgWGDuLVFTY7XdF8HvfSHZgfsGHv
oxF6teIvFShqwbtl7l5S3otVrEFE/WrQ7nZhWEZQmUi2tp7x6S+eGQOhFWCzKJGPndagJmZaSKc7
kMj3gTCjVwSpItZtcJEJoifNERkChWf+0FCv9hAi/I9CJQtWngofHi56/7DSVmPW6PEb1THOo1Ek
AbXslOcO4MTSTV1gDG9Gw+03ITrzOaR9Qm6huWe7ebCXx8AD77WQDt34/lRv8Szbp46G5ltpet4h
LMfhq5d5zRO83GwGEQgLJ4jSHAOeM8dexRWWCif+lWiLCc3Ypu+GZPNIFrvV8w40JdnmnrbofAyX
Fz0pqAqjsvaZZ4bbDFJj3PZucpeFdfvo+1j+krD9koPlv0XOcGxrZ3nAxociNQVnb+DHGmXZnk7k
HBjuR795FJVt7CwsYyA3ZTg/U1Mu76pOY9CzAcLnpoW/wGd5H8Z2PIVzniWnmnANYGAF5ZeVwZmk
ecfcyQrdjE+pq9rrLKTY8PA077uBbzcyX4ZHO3d4KKhomzqjeVqU9YnW7t9LV9Un29L2qeoGP86t
rtpMtbQ5iybpoSXMv01yiQtdgqCYbad/Zsmaf1amhNNpBPNxFgzUFHAjfrf03kLfxQZDm2ZxCIYJ
O1fCg9y0l/6SYw9+qUvT3StZpxs/1P6dOdUGwi4PoijNxm1CV96b05jZcZZYCA36RBC76a5GL/H8
N16Cy5F4kfETI5QRT2PmbDDCDr9EYjT0G+TNraN2HC9rFTNEmd/TpUp3ii5aCMFaH0LdYTWUicre
7CXtr21V3jpU0XMWUZHttK282CvreqnZAsYpXB5NK48euqwtVNwPybJzScUfKpdNkgkVk0cBkWII
Mvdnuio7YzB90NfLYZBnZhknxZhtWt8zrpmBDtJIb3yVEy6L9Zp883F2Ik82/hsuHX42HF9uFy8k
X5cX012dDQYPLPL6o5e775yjoU8GANmspK5pl2+s72OVuuisywvrQ7Kxx9k+etqXFczAxHvOc2va
UokeEiQpb4tpnZgeTG6pjoWxz5z5Bte2F22DXD+NskhfAW5XGzEAUZr9OnsU2D7r2FDp+BUUgML/
rIJzCp2VKERBRJ7nJmmB3rx21MbclmV4HFIOs6o0y8vAF2zj8dn7ImabRA+CAz8S1JFHFpTHJc1O
EQ6vAvWYXbltMDU6Sbpx6zQ85pM/7NOQupTOGaqNGSZXwfp4aPxuIGAFhwn1Pt+OsnJP/EARjK+a
/JD2JNVsFsTdRFP6NfVaHt9jMn7PclMeDAoFLovugg8rKMsfcBGMe69rnzqHWP4SUp84u4DxokSx
+DjQYXtjOeDlICTgBfqFVoTh7PnVd7GI/pSJIKU5GsC1ZhE9DmQPfTL/aXfO2eM47KTujTax5nFR
+KZD3lw6FuLJSqX9Rpp+vEa8lfGmWIl+tfLcOJaL9q6VzMWZytR944C5Id+F+uB+nYwRw2JYlTtu
+AnmY11+icJUHoY+VA8y7C0aqKWzN1XyM+RIgHEsyw7oW+xcKA/HrimXa+a640XS6/ZNR10eB51u
tnIp1ZZqzeUX9ucvWVXXGAxF8Fwk/BV6q+BWgzsz9oVzp3mq7mRmvScdawMwxexByOZajsZ8N/nT
dU4s96VUBQcSgRULOrw+YE6J9vlUJO/tME9wFfL2nS2FFTYaItQFW5+CEZYCGf/30eK5ApfG2qes
qsW6NZZD9t0YPK4WM6bxIBTLOYrg/hAKvUz9JWhwctJNXmGuLpt0k4Vms8nMoHxZDT3PDFXFpVYh
r3rPYiHCeRmKh6bprUMENuW+TN195TvyEE5mezc6br2tJ6K6mXArcit2esVVwWPHFsMxZWtEqRuF
/4ighcXcxU81hQNdDUJ4XN/G9w5KGeau1pMH1vvlQXIF2hReaxE8aeu9F47Td8AlIXEOIic8EyjQ
jgs6NDAGrswfr1mmjxoM7LuPA8BkzP1epVGy5S/yqxoqtRfoFHSX1QYmq84MN5Uo4IkubQENVBWV
gOxR1HdysrnHYPDfjZoq3Y3hpp9J39pbrl0jrzR8dHhq1/NNIR6YezG/muV+tP1lbyaSN+iY0DnC
cwCdk2kT9415TBzD/AWqyot7kMQUGnHWoCg03Vk5tgdGD+qxyuLJCxZ4vJ05I/0k3Xr6s8XJ5Fv9
TgHUar3E+xzUA/gPzhAFJ7WhI4FudBhbSjRoFSTBN5XhCdpb+KcwC5lPAQlGWnbmVNxbY299TDIo
YfnDTzMJU3P9Kex9Ui9AOZ7DKRkEACcdZs0HqS04F3FVl1H1JZiIZrhnnNnYR/opjJov46z5qtF/
iAWIhHbNpByLluw2+LfSCjTeirXoJcoLakQoy9safYKNTnPx/Sl9mX2OxFpjZgTvG7+meaexMNnP
tpYnhMQJrLsOp63Zhfl50KG6U5J/Gq5Q8+bwk+cUc7vnTzTuiggBY0AiOuRYPpo4lVP92SamdYer
IzxB5134Ceacfx8M/pcF6HCsuHp9uqUkB7AEi7wkXjTuuAS0t3bF55K8bLkuyerJHKkJ8DltIcJm
43B0SyIoPA0ocleo343LCGOPXRWnaV4c/RY2UFB69sWsO1oVzJYRwKPSh4PQtPX8GbZxYPDnEfNo
XqZcu68gmsEsdzkUMHR2w44VVp+NyVfuNjohVFTMPG+jlzykIuTLapbR9MwRLd1qkWIf7+Hh3s0y
tTeih6HdOiXgm46ajdVOJMOHkLcwR3BuGyfRWczInaS4dqqE+JKGJV2gjJ7sTJ2+n2tsz5W3dHu4
5uqOXgeB261n+/LsKrs3Ej22cVNPeufTfXaaRaeek6Qyewqv+EcHDmunomvrW59GbUypjfrakkf4
ZslQEZxIvyZVYF5dyMoEd2sgvo4tJTGXCEVo0OYliCr5rGnShDKTyDq4o3rXfaoz9T1YWo47cplw
6mKbo6lsNHnt50vq0ixRJv5DUc7lqzA5Y4ViTA6hHUGrnTHHHViF+hcEnPFTGxY8V0BYl65K5Za/
Ub0XLeIRKaoaR6vfe2j6CggNUBlCEUnmjT8Wpj4mfgNCcNtM86MK1pKZOirzW5tGTGJq4ZKo8cju
utCwdnawRCcu6UR4l0VcvQwHbQW94b702ByCyefDZBo/yrBZXuDXJh74Wp9/OY5Czc70ivm14FGB
R0+P5MZEsDwYc8OVARP/obd1eaNwEJbrwueqXTi1WMpMz4ldIMUz+ZKtjJpjLRJrI1jLOP3V6yBr
ee3Vcxiu89okLMD3eRfNcOMyPnaiUt+aHor2g1WIzgEkTDr5TkGAJ1/U0KmzGTIfuRuHlr98Gtxq
xkcr4jrkZ5zi8lob82tfT3L6sowGh9/Y6Fl4+8fB7JwAqOQQ2IEE90xc88KXpA3DfZOCpNw4ndVw
p/k/lau7zOWceE8n4iExAvWlLKvp659MP/8FKuM3PfNPtprfhfGmF8JAQFyxvL+yMqQiR1461ngP
IdbbGpGN1x0YEFdsqhc5pafvduUctLDPTuHtDbfde5m1CwNAm8MCSI0WAG0QOcQ0qPJ/EqVdLT3/
39/Nt00LDgRFl38lmVTEy2szscd7Kdv7QDIrJkeiTv/4K/Bf/SE4ilZsC5Ht4K9fAIo0oEtEerzP
YQ+u//UJ+dRBs//9x/xLkvwnkuQKK8HK9d8b0e6auv8Lb+ePX/MfouQKrGQtoYWYagxKGdEr/1OU
9NfiJNMkMG1habZhIvwPZEn3b6D5vAiSCrv5b5XzL0jcf4TIBYb7l48p9i9oP/yfg8kNkO8atf+T
M00uTWEnyZw9BFKC4yp/iyHjqot4yi/mY9CgSe6HAu4/TaqOvEt/KzF5mn3CYefVExDIhfcPpIfR
b1HoUdTU+B9La+OuwPIAe3aVgxpVtOVrvmpITbeYn8JJpyi2uEgNselZwbytfqtQueE3L0HfBygU
KtL6PDl5O+Ka4gyT9QUxx9nGmllQ5nEnMQBuKLplapuNqznMkvV6FdMsUS8csef2Xa+Cm21n5Bf1
hNo3r6Kc78FRjGeHIRddP6M2YKy9DBQtWlu5Cn4D7a9Ho8Xqq5tKQA3P6+lJK+PAvMt4gHw4rjpi
Rk1IBVh4hTfM8yJeJw9Qp7MqkYz01yyy8vYoFqu16OVBAO63EG4J2cWBg5WAWA71E3ZTtmQ8KIiH
wsd3nq+yuQzWY86icyYC1j12BAf9y2gF3gdfkfmCp14k7ZfFh/bYt5zy3UvQplOxE+3KBh39SR7a
kAPizp7s8a4Rbpm75TEoZ8sy672/sG9ZjOVZ1jtHDj4ZsTZ8L1IPwWUZphoRbcOhzoJROWbFIDId
R2mLXfhkVYUV6Us5RgL+XDxZiN00BYVGEMittAn1avg/t64DyFeqCHxaVAdS/IqE1WFONAlp3Nt1
51XWc0DqcO/3edDQ7LEOt0gZ65xbRfo6giM6+7+H4aAtkmwzl4M45W5UOztmhicqajE3rON1QtLh
oVvnbjPPKYwtp4Io0zqgGzZgPUiLDUW/JsZ8+AQH0mEPVi45mvmDC9gOhRwvW0sOCpd8eg6punU3
Lu3NJMlEmBzNem2EKJ3ZO1WsQXtioN33xpblh90ryyEntq4p7bqx9L+XF7ijLbfILsIfgPcshhZa
nsneCovY2vDO8qR7/ACu92jwFWTqdWX6nraueUnXvapaNyy97lrBunWV6/5lLdb0VK97GekEVjR3
3daq34tbYZs4vq2UesfR7vQ2LPz6xITh3cODE4iOQEmv/roY1slictEy523B1sjfEYPPukwOZXrv
Zx0Z3cH1r2YQdN+ydSHN1tW0qbCcyXVdLdbFdbAC+YIh596rA+9p/WQ/JOSltryY652vrDvmmpnq
K4kE6UhvH+bSbvkKSPNXQ+b+oVmX65SasEur3PHa6ILVu/QJp+Z+ehBC03ycM7gnimpFeyy6g+TN
9py6CJ+QVexrWARfF3b+el3+AyMha72KAjJXxlFwFn/1VDNm8Den8Trljv1WefNEKcq8NPTslqZz
g7o17CxcKL+MIMwqSAFDti9WvQKK5AdMJ1pP8gSEvjHMKsJr4LvP0hknAmvUpHy4v0N8wk3NuCla
70e/iio16jW/hzROZVjauDelEatBw7gy/eZcTArlVAixSzQ9qc4q3kwe5O5R0kdBecok9r2XkoUN
hj6/WFE2fKHnbT1C6+JLNykUWdHcQnu+RquU5K2ikoFtnjKxVWoKafuJ4og2kc9p1aOiMsyPOmnq
Txo3om35W8GSFUeA3dy4JjRsi5iNuOHIB/jq6Glb8Ol+towGRcxaxbFolcm4Rb8wIVt0FXspsMlV
UhOruNYMpvNOZ88YI/cYUHws8haT6XtvrPBQblfJDvs84l3Qjq+UYmLQckRzBwSx6GKN8kdTh95p
FFIaQ0YDDYCesgYgCJlI2/mGR6B6WFY5Ua/C4rxKjBRB9I/2KjsmlBw9Bxao0k2nUBv3DXgNpjg0
TBrf2q2LiebG3bbpKWpB9czEYMQuBbi/0N/NY63JEDt2z21+4aOFZwH1NOvZduNw1VXrVWENUdpR
U1BdbbWkREUNHMOpZb9wcpeXcPSycxO18pFZWm97ZWq+sqvUC7iuf/Z0qsQGdkq2ZdMvub6tQnEy
KT+2VvF4aaHqbEDM/axWodmiBDN2PLu5m1YtGpdKe11Wfbpkvkc3i+6Utj3UqN+CtuMbxV22St3Y
c8Q7lhj7i1iF8GCVxM3f6rjhZ9HNjSbSd2E/nZopyd24SXB7akS+BwJgxWsVNeo1XbX4GnPMV4mc
dRlWzT5b1XsLGyMJiQazy6rtJ3OvYlh6XbZ1+belLRHHWX+q0ePIkgXDC1Q5HGi5y35n5B7i2npp
UGZmPqouSJ0dN4rmXP++TFTrkcITcwVDorXsXbheMtR603AnJABvvXPMv08eYr1+rB7GD5vf39g0
65mEuOe48dfzybx43dF0F170Ia55RKO0y/fYWXyKZqT8kgSavKvhURQep2Ds3C360nVY7znd79PO
v4bj/0mfnMWth+zEfz8cn8oyh/rb/Zn0/scv+mM6DoO/4fm0iVIDBCQisZ7f/5iOI+tvHtmE0FlL
O+mVCxlc/2M6tvl/YYgGsucH/CXWUzs6T5/9+785/t8iH4hSSNqCMjnT/1/lNnx3Pcr/aYmjRc4O
HGIbBEYCzukr9/LP03Hu59w2rS47TwrrOY/thg8qDtCLVAF30HmigN4dcP7IQil8u4mHemNCfcdw
2HFdObYW6b9N2JT+eVkCN9kxXy5j3JvmRG7YrdyDxXvTeCoi0b6qGrkZeIVDfnIGuoWphhc7MnIV
qrhMkPLjgRQgyYVm8K+RoFQ+7sZ2OS3W0rtAVxueaiXD5U5bgteWswJuui4h0OsCh/0RiTn4+O1i
7kNy+OnCuzumN7jvNnPo2d7W4gprXyO75wEWVf4dcCKmDT3QG2kb+6Cz0KqYtqhXArWWP0sQjk9T
Zvb3LXms22rJr3fB1BgAZ8MpBQPrmSmnECFvJdmwA7+94lzYzDBt/Ohsw0K/oEkccNjx1KX+p6G0
HuO63WUFX8yRerTt5CVq77IOvJYRfrXcactnRlPqhjL3PdWzfPCaOdriBXIeB1usE/vsbjPLfsz8
pdt6tQ+tjBmDthqjfHSAYNxT8XPzTARfryTxGMspyD78xJYHN2icDefd4mJVVbnN/UnddIviQRAy
T+/QZN37MaspXkWgG67muIOZ29wnsq1+Ce1He124xHa8PNxwJe5uth99eAmWLiuxko1vZPSOdvxP
5i2vEbGYuOV8v5Gld9YjfJ2AWvhn0XbOzZmi6eLIYHzMO1M9gTb8IWwn++41/rhFUblwt5233sqy
BNbrInNJ40k3U/VctkXFObjs7onJZpuerwgNUgWAEtHfGxO1HsS6uxesUNSHdPZ0P+ddtZWTR3+V
x9/UmMZ0a+ok/bKEgVHFZagoxhZ1wxmKnnbmbimti5Mp8zybw2fJP/+QDm75FOia4DOhHwLtuSeh
VLkUX7eJwJuSLsu9a3DvFxK5pTCnhjDSUN9Mm0904A/91S5c9zKTk5at4+55V1KGMFGawJEcWqvR
r1F/kVlb6Ra8Vh1Hu1tVFOMBVTvdG2q4+E7UnQFq3WkNUirGtAftGJwM09eEKFmXukBAlTghzZn8
ZELSxl/6rwZyCSbeW0goZJ8EF1evTXiqxio8iMfMaR8MchjWTBY3Kt0bwly5q0P50UkoIpVowPJj
Qsct+F4FoN2L3Ia+UOU2hYQMF/jiL+X8CSNDxo3Vy3gZzFd3iHDLz1FylKM27sYwinagiNKtMN03
Hobdgy2raW9gGaG/LvXove7cr65vjJsJqBBX/dbE0WrzY2WcA/RM4Ff2mw4StRuCqj2UJHVQhc9L
n1/7ijQw9XXxTJCkTtDXSbxR8eJW9P0K6sJHme+LUUwQI0R3g09YPsnQS09a8GWeOVmcosifnqqp
XA51D4peombBJ5j8O7fV57l1xlM707W3Zf4Yn0a3/4ob3jgaavbucXRkNT9gTecyuOHpodFiqyyO
RiRqR6e6An6/ZxL90ajG2/n+En0RSKZ7164LyjTz5HF2wvwBM+j32pWcMhVm+yW3vpM2Zn3OWrN/
71r+lQGWyW0rS/uSlvTq0B3CR9pMS0DssL7KOSsfZx67cUajb1w2bUP0tJ7flyECr5bwfNYDn0Ew
8jMw8wleEMVA6lm1pApMX+EiqauHhvRMBIwN0fYx9RKCDZKDwQHpGSW09DQRU/DcJ1kwfqOg9uW2
kXV0g+D1CwrquEnJFe/HLCy5uIUWHmXD5+aAqlEBVHLzapi4Kg0eThiZ+8beWrJlH9p9tZ8RVvgR
r5lWp+ErsVR4dcdZ1/2Zos5s4N1iqI/CEA3blysGmtIyLlYP4PgaYmfNFB6LgSXwOrmt/zTxwn4m
tMqPSDHy0eOMq71vHdvcOVsAmhHsddhs+PTnCCsqxaRgJIEbj74MbqqEY7dNMKCeG9sMz2pOKE2O
RJ0eE9Wf5txJH7JyKJ9DQzhB3FIiesjo7xo30TJmbzJ0O0Z/tzpaqEffQyTxKK5CrJ6EBXv3mjqt
xbDrSm7FyzgkJy05A42O1jomAYh5lkf7rxo2H+0ULspGr7vucZ5sxRbqz1yWKO6TWKQ9AoOxOy3D
q5k46rtqzfyNdzL5MBo/7vB1Vw+J9qJf5pRBUcrKxLkZutCvRlEu95VJIyXqPSO64396tGYge2WO
GuLB03iAI64AXqNPFU/bTcf8MG/ncuW+QwrMMcaJLPw66Nm7crctPw1hCpzJg22vrav5+JQo1//K
eyTaSZaS/YD/j/kW/STZ4IXP0lObT9NHgeTv8jBKCQDQjP04BVwECMZkxmMu/I70slO1b2JOinun
lGnKp7h3g40dVQvBUFX8X/bOZDluY926r/LHP4cDiR7T6lksFjuJpDhBUJSIvk10iae/K2n5XEs6
Rz6+Y09kR9hUFauAxNfsvfYXivX8Do3tPdF9RA2SqRZdoOYq8aMk3Kw46dvrpSXdci0nSUwS0Czc
dwrC91VTJNMnd1LT1yhI2mfIseMO9CfbHwPgS7iaW+gbncjGm8rlvCH2tDNeHVPJa9VVBPrZBqwt
7Kskt/jG1DyH8VwFa7VEA8ze3sZfmWYte0W/zB5xtzvOKqjtnr4NaRqB5naLGaMpLrjnUvZPlglf
Tzlzu+Kdh1vb78xPUdhHzpbckZyQwdFw90PhpHdR2Jh7VF4+EZUDme0Y/mhi7AQ1hCtG5Fe55Z/U
1LdHkfTexmscEyIdwZuFxQXnF82yJqwAcqKJ38PLiL90ExIAV0I2t2KQ/UYiEz0Rk41s2EfRvJnJ
W7mQPlS8VVlU3SegLT2b9HiQYj3Msn4iXraptoQBKciNWbt89SigriITaZZteZ+dOAk/+klVvtSx
rHdEdY6QkzI/KleK9GxjDVSFExHVonmR+qZ/FS6O/zy6XYGlA/QbxjlXk4FsZX/2J0SUfSTshxA3
QroKSntmmtahC4QyUh8ApPKv+TLkwSGzE3UX5FE7rmcrES9jSM5YU7nNM6ur/tYF41qts9kyPw0L
BeQ2NqeBawng5Apfp/gStvSfGi4XG0cE2tETquzqI3YbTzLhSObLQQ6KpYthJJulk2hJkXVfZHF+
w2AzfWor/xyrEZ8yoLERFgpuIJRXqg/JEwtN0i91XFdYotFz8dVeewW1YSBif09MsIZKdaPzOfQJ
Bkbe0AAQcxSDp6ycUF4IwxawIWRq7on1jc+yB983WUt0YTG/2C+O22+Wxi4gDZjDSSCP84au/Jpk
1tCt08EjPCNDl7Ea8e9tcq/vPsZIdj97DrkLY22iTufbJFay6ZzhKrFmhp+UWRi5Ipd9Z9oxxiNQ
zcm+NHgnqhWbGZTu5CBwtBA8UaOpIqZjLj6wPU5AL7qwcUQ0nDoET0gUci+4zLsyhOpAjVhOjCSX
0pC7qmuHQ5CGpLUxMc6fZMAQZIWoEolMkroYw5rG8rY0zctlbojmOKGNPvEbFifLSdPXaEl7rM19
fyibdtzFoV1dtEUM8CJfHhuF3nMtLNG9xIyUbuy2RTkGfefiny75v+mS2dI4v1S1X71I+fKaDBCl
+u9a5W8/+a1V9sLfQgLUBWN+GlFBQ/qvVtm3dT+MSt0KXM8Bjfpdq6zx8L+noTsBG55/tcro22m8
Q7aGpIr+ntD4NxZJPywi+asFyGDfdpEXgqgLf+B7h7ZiPNUYDddp8ZbUMUydoI5wxvKw/tMM4d8s
ff/dK2k+hG3qCDbxY/haQXiPA6iVV7JopJFYPjdVPeOQoRb6+6/Ea0A3dIhcdAL9Tv60Got7I4JF
Drqzn+ibosG8liNSIq9d/mKP/W9+JeYcloNHwOPX+nFVPPqFIFxsgREq87e8yN/wur9l/PNv/z68
jMvYxOcb/+k76r2E+AV3bg6UZCFxvdq/n3g4cuf0//DRca2GQOVDPboR3g8fXWOi/0z4jUaAoKcZ
eCszCys4dVX2F7+U/pu+m9CQJuFZFlBYIv68n/aX/ghvtyfN5pBowIE3YGSP5wdhqIdmBO/z60+Q
u+XnFyPOk2QHenfM7t//WjDYau7NujmErc6UljAGMrBdSEnSFzNA4506LIAQ6/V//1IMPMd2EZUA
JfF+vL2I/Bks8jSbQ9MCSBjIIkGoZuQPRsa//fp31Avfnz5Qwlc5FfTG2v/Bp7IM2aDSumwOxoDT
G2Sq2maWGd3/+lX+3SWvI17/eBW9lv7TvRUAFxyNoeBVwtmFWzQ/jOVUHavu//bR/emVfjiZJjIp
amYTXCDFoDZsXF6geBTr/+L2es8S+f6j01G4zB4Bg7DO93+4POqodIOSVQowA1KlG3MkJFk1/Xyz
OKUiZdZkEhR2YtdCnTmY3VxvUK9Q1LZQD8aWZT8Zhj4muZlk066uplfIB4yFsog23Dc1FCZ/A5Fs
X8SLGK8an3UZCFZoERYzfaTT/C8qoY43c2r+gSfGwWcBdcv0wsIxZNUXLuOY57GEhzGxbDxg6cxX
tQL/NGVczzlKpngt1cDcB75tgBgOWgOzl2oLbIZK1vKr+97InCMKzOm1jTjlRe/x3j3Bq2ROfTkF
ksDuhPVavcUobH4mDg8Bk+T9GGRNvpQRvzTOSKJ8wri5ji0s7r3rMPMbbQ0REcSkzHg1eviTUdfs
WjOat1kLFsPoGmNdmvx2S8nBBV+5X/t9Za2huDAtiGFqeB6PAOy8QufasQQaQ2EfnRK8RtYt9SVg
VZJRSIPcByEkdmgd1iMmEPdyjslBjJnRPnhTnu5baTefWq+0HjFdoir08bh/Qko9LLynEcl64uOB
YtXH9ANzigPzA2VR8SAnaPWAucpb2F79c8RHc5lkbXPtDdmbKfhOh8yzHskWepvlFN333lKzJtTv
XkrwKIUFa6UrTAgtbhgWqMsZQN5lc+pccKL3RNCX6X6MyZynDMDKU2DqB4RFTsLKQVZ+jqHeQgKM
qzcP7tkZ3DQf4lC41cYypiAA0MJlX8gY4DXx6ydg19U2T/kQoiGB10dGIkG8TfwhWCx+pRhLy3O4
YJEtW9R0kZtk5aboGaOs0ex6xT7FZtNciWFswg0On/EpiRoj3FpiBKMBHR5EiGdW3cnA5fkYEPr5
Ab5C+Wb5cML5HdW26jk5YTBivII0+FBbnviAs4nrx+2gLa/BCDC0gycykmo4l+Gpm0kkRWnFV9BH
cw6o2mqQw5EZamDW8sIH2RKNRl+3QHBxeMQtKgz2vY2yYeUWU5M89JURj/shqLKXcGKiDdBrvGKK
jhwyDcEMw3KZ7ybK9qeFLePebVgM78hFstJd1tjuoj1duBw6CUwTGkAuPi+hXlcv3FuOESmxwYUv
P45+33yiF3AvfWYDh3KuebPdYNhHzySIeQO+1qDd55twkzh/bkmOP77TcLpZWiRcZm8W7vBTRD7u
kTcCnTKGFmMoCZ0oKb3kHOehZjcV4Z6RO7hP0Av8wdebBB0YNlIL7rOxY6+fNHPytWpC91DlHlhP
j6H4yRHDUyPVuLfLmgY+HLgQlimojhMcWhlp/7zRm2spin3YxV/7ofM3iWQY1lqHvh5JNlApwycP
IWDUeJc8Cv3bdxqQqHhbpijGq7FnwUqWK8O8oI+AlPj5Y8B2+NIM511J2MA6XmakAiWL/nyVp6he
7L7gouZUnG+SolGbirXKtU1RuWsN7vp8KFDnEtjAwCFT26XjdIP5ylJBP3cbh9/bKrOXFKDIdYBA
+aWYZXBrj704E+goPjBfsI/zwBWVc6A+DyE5o2ah6s1Y8eu7Ehc0w6iWwMBqmF6xwADzjDFBrBMn
D26FhyDUMYsX1+Wg7DrODy8x/NsFAT+Akk5tIh+ePtvuIbiNkAecxMScF7AzlyFg5HZfmOWwyUhP
WZcW7ntv4qUZRHaHVAb92hJiek3c6qKp8MbpsFGuYNPadmlxbTe4pxNkw3wJZXMtW11X09RfQgjg
YpraZIBVIZx1zhRplUakfpbeIIh64tQlaeFTn6N5MidOq1FfI665iHOOu/3MbCHejSpBw4rMk5Gk
0bvnLHZ3EuHReqw7a+3aCydiXzOyXhBmpTOf0OKTGYmJjjhcQ07rgW84WxVm9w6nqj6MTczGy6sq
UmqG8lYOnD1GzOkxhdz0+Ug+1RjWw84GK7+KMaWe7cgyP4di6C+Z5lCP1sN1gMfrID0T7lBSh/sy
jI0rguuv7dQenwz0HtdqTvqrKFseU9OeHoNcBZtAochwFuEeFrJatqiMy+vG6KKbIv/kowHepDam
vVjbaPr0I/fzQzeaiO8ZoW6TGJoLPKnm2oFwxtCaLAoO98+GyxjV8nnoEbPhXBhpQo5GxcnbVZw4
ZhkI2IECrOfCV8qEXx+yniOb3cJ3sKP3gi9NVjQLNgdPoWKGeyhRSnX7KglXlkgaloEIupjjFAWH
WUaTx8QETnapw+ZynTfFmDRo2D5WDAcwVRDc2q1IlUzLlR2D94Q8O7VY2UsLFw5Ooqm1STPye3LO
62Boj3Yhhw2+WXRzm6ida9+7VJMFrpSHT9Fx/mHli+5aC/Abue9ZYuyddCyTI+wtFCIghLENHJ0R
TuUq8gbbt7F1hR02OIT1/ptUTDxXwZiXXxvXi4HSxv7FHGBOWE8q7CTVjWtuW1h27DSBoKl03Xd9
f8NeDiZHxjZkYIwaZ9u+STpns9iDHtZJIZ+D3MRjAxjyfsrsmT2d8GIqBCJsUyRjajxWRZZvYLh+
doKBvAFtuVR2uQJBk2Aj5v7i4BhvXTczdDaGDh/2y5lntaX23KeWTfAlkR7A0fqD1Q79dm6jlzxx
863P5nFrmYBia78VTyCD5/PAM1qs5rgzN5VjwQgjQmE5c7vGrzGJg8MqF9CYCh/EbFYYxkU6u2ZA
yGzJ+eZ4HN+M+wbI7z7q9skJC5dVStIxm59KJEIwzP5Cfix0XftdMYqylN6f1bVrW9py/n2FLReE
9IM0i0PLA3TjWdN41ccD+9ygo054h2opG/s0ARnUFXnY1Zfc8O4lMLA4XYnwrxo1vSr/6f0wIRAQ
s3Sz+4PQ1AcCwz3A++lK8TCYhMnkGtflk2dZDHeR4jH36xbjp84wRFZLa+g4gnocucAPH4AzumU8
NQUkaoqwKoIDJSoex1WV1JeGo+rfJ1z/MV5M/NTT6Bf0yW5icWHbPzn8q44Cx/HQtXELQ77jlADm
IQkZ2mRd+dIbbOdzgmGuPcRSN++PHVKlhLdPLICPicDgHOWF+/KOKZslz/Vffx72v3t/LrmLLgoJ
RL8/NuXNnBJERCLHISlLB/ONLN9qyDjwPfpJmphdHIrtAiJKtkoy0Z9Hj1qTsXtzDYiOJQK/BKVM
dQysNtgoi84Tg0sFfB903KVjpeGp6rIOzpYMyVVo00bbQV38YZzKNvm6mNaRfd7bjum8oHRd0JXy
xx6HhX+LQ44HcKTm4kFLOZ/fn4oVJt5gPS14rf/isxA/CTv4rqCFC6RvHnSHn4IahylCKSbzQ+/h
wHcNWa9gx5PMZDtPLfjtg0HZuCLWydoRluuyz++Pv/46fuqzQxvBi4WfTEdhWj/mbPXKY6mWihTJ
nUr3rhHXl4h3/+oY+GliwaswqLAAFTmWz+Lq+5tgSIcx8hDpHDyH4tmLObgqnByI1EL6DC+vARdj
OTpD8h2ffv0LWj9/xpQoUFQDUhOJdf2xHSZuzxm7YkoODuSi6FA4dXgyoih8LgdKY1j4rroODTfU
I/yHnC0JeQDuBPh8dON1X4Nb0ectnrwWRr+9jfuGctLJuwP1d3jK6kp+AQYI1N2IJI3r+7v/x/Lw
F5YHBFrAbn+l6qq+/BQx/PvP/CHqcn5j6gegVX/7ju1zDH3TdBE+DGEJxYBNsJwWZ/Gf/tB0id84
OXla+Tr49/c53h+aLv83zitT/9g3Kdj//xuDarwxPz6IhC14F9B42bIFP914A+qidElm4yKyl3lj
twVVfRbBYxtohomvgqRHpyTVspaDMU5E81ji5CVdebV4kTOvhajybWSm4xefqup6ATX5HJqZwqLI
PQVhiPnJZq4jdi4EYz+XLuMbjmPrukuh5gMs6uwrMCkBtPysxMkrw8IDABrcI3Yv7jp6lGtzfCnr
jh0PQqiHfjRJ2c7T0VgvY1EtCGia+QUECsUM7Y5aUIPEMG1n9PEzbZQf59vGa/PPCVunGAJFyRGv
rC6CNKVSyIctDgQiTwai4mboagOMPyy2He6QLQlM1HedjWIfZC0B9W2YIG+fkyg52Zk/BlsWrCko
2gp1OuSMvH5tZNN8qntzoURS5nqg3LykgZleg3KsPlFoU9GzfFeXeIzbW9Vk8YuVWCi5MkunahAW
P5TN2hsscP5pMJ0Xd65vMLahjZ2Cue1Wqpz8fTGn+Tmwy/nWoe7aNarfkKZx4fvTAECF8fxYDd3K
c9R+Ij3hRrSSsKrMLl9nSbqMPZfBjecKLKh91t/bCvpdKqXcOpOyD9HSCCKJiAs6un3s06URvEMk
WhpdLFK0x3EpEh3U5oaMCdzWPyGet6p1Z6jiwSZh5n7gUFplg5iW1ZCP4in18+gJwv980Uxuu9WZ
OKdpAcDWVwjRaoiM62mOltMSi+GxyFXTrt2QOfkUde0lruLxLcSEAQte9cTByQI7+ehUxbaB4JFt
qinEF82iaLxCfoXnI/R0yts7oQzJuLuPU/r6lUU0yXOW8Txfk7fcEsnW2vFNFTDzOFC3pXck5tqP
Fglst+Hi8mpsJrp7ASduN7SJcymsDFFLMtQJz8IerJgC3WfxXD9MSox3xGPT6JTZ/Mmo4u5om2X4
FfqG3+08E+bCStjETG2ntg3vECouExiEuDaeyPTzbhLC7AGgBCCoV6Fc8lenqe0QkR1lN26NchO6
uPbbUlQf+B5zIJMyufHnTF5JoZKjDxA03Ip6AkcTVQ7oDxWXGy7X+gOqePOaZzUxAkbLfxd17KCi
JiaGCIuyOWd441KJDoS7/GmuRObQucbkofLxzLhCQYiOqck/6krEPRaXcFSZB/8inM3iVKHarIgb
g9O8MHyAKhONzNLu1DTa6pgwIju0k3cj8J0whiI5zbYREykHH8NMiue4lURdfuIJqIhriNj2+wOY
pHXeWDXoEeneD4MLCk6lghhDh/ClBJHD2UEOduphEO2dlnQ2SfIp7AyF3TMa821gAy/puF/uIklP
vkohO32c3+VVCOvM7MZPoaiGG6dZBvPeWSRg5ALRXeWeLYF1Yhq6BwfJx62RB6HOHkTRZSPtGuPK
u6q12qvUuq9CK8CaoVS3qOqsi0Hrw2qtFAuULG6ZLcCS+aYjAy1uh8XWb/gi2UOtSq07E21yLjPu
D61IM5GmjdkRzzB/k220+0Gr10JkbJ7Ws9GwHTMMLCi2zRVBn5K/RqvftA4uAf91EWltnNAqOV/r
5VKEc6FW0EEZh5ygVXWYroio06e1GszHSmvvIq3Cy9WXTo6X/cJnGPUm6SsWgj0R5uaOzMaPZHki
EEPWF/gKfR9CP8CcxRZ96p2pNYARYkBkStfelGU3PTJBvL50yOrS1/rB0qzvx5QOtJwZ105aaGhO
+UiuhFYfwnkJDn4CYRB0SLGi/NY6RRSLLTiZY2fLy16LGRlZjnvLRuAopGLWSFWHvCnMk2MX+w7J
9VOzfMJPLa/CeXJ2HrREi8vo0tMySjMmK9N8l1bObb033IpmHmXGusdvfFbvakzaWApblBS3rVLh
Ha5jvM9QSYrbXIs5vbD74teJeczTWFwuZdhuGfIEjNjcWehjFujyimlL/MGHw7dhH0yfreWjixaS
ktugzoUWl6pRdB+XnKm34QIOscL01u2MllsCWWqHShPlH1JV6DLl/VhE0a2rhayOlrS6NU4lm6+J
jQl5jFr4WszRS6KlsEwSpxtLy2NTLZT1tGR20OLZ3vaOUstp54FLJzPMR1dLbZkFoKXI5mgderxT
K/dfJ6Qwd4ER+utlmNWODIlwN0x+8abzIc/LtJVa3Dv1DjrfDqnWmTPGOGV41bDxJ2V7ByWdnHUt
E7a1YNjV0uFwlsmr864nDkk/Wfv5cMdFWJzD2ixuMld7wrUUOdWiZHx4Nz4s242W516UWrpcBHao
fUfImSfx7I4deg5h5PelFj27Wv7cQyXYMdJDE81xqPXRo+mtQeRVO5VaaGSI394LLak2RsTVrpwU
0OV0vvB6HpFzvngXRiG8b8He/9TJf1EnUzd6v7QGn79+7l5k/vJn98O3H/pWKIfub8xlEGw4bJKR
iei/71ulLLRtGGIgOSjEp7zX0H8UyvZvOIZRbtDEh2BFdEf3rVDGvfA3CmNLl/l/ntDgp8BxATuR
MtzGp/PjhKawB8PUUTcnu1zCMbkihsyyPDAGPHdUdRr91FFNeZGOUfIV+1fQMrjPpw9u0HkXcumj
+6IMIiidvP0rBILetQWy/DRneOOJVTMadP1wn9AudsauIlTvyYHRee4Cv802hJwOO1Je0rM1B1SW
bhcTYDMu1rYRCUp95dpQj4mfi3yz3aHmLG/ynFDhfkKcFrKLgMKu4vyhIz3j6BhdMJAm71VPZjtF
TJsSjeAI6vCuSILyrrP6By/Ilwv0m/PeF35847XucsfqorubYzvaUQB7VPb9vDUmuz8CPUQdONn5
mlXnvHUSxweCl4MFGtJsfvH9smWOX9NDOMB9b6i25A1UgOQRQuBAJlydIfmLR2sXJj7eV7dN7tzZ
y7ajqWG+hlnNpy6e8Di28iPswJ4xKsYU7JP4adfMpBdgqgP8EDF/zue5kyt7zLFAGWN6alMCUlEH
u/KZMCcMkC3f4ceC1uIcIBDbGX2yHLvSIVIqwfG8gf7qo+cHSAHnzUhvrFBmB6OIr6c8y8DTzeTY
Jm62lmy5D+ZUY6ZMquFUGYIhgSg9ssDLSd3jCxt2+UzQB3mtFkAS8uEYCVVXKFWnE3YwdYDWb79k
jl2TrSH6e1qxYl6X9AyA4ZueNJ/EgruFIYtuqDV3rfCNTRUV1S3LJ/u+V07/yQ6t4k1Z0vxgjUO6
8bB/X1MnGWdy5Haxa/ZPfFYIRNu5CjGcBeWT3cHIFUEDrwin2naq8mWPJdbYGnY3f2knKa8pBupT
Nvfzmvk2y66MC0cTlcPw1bYzhIBtR7WyMhZcA+uZ0n/r4K28raRG9Xth229VRHg4T/txF0iwtGgZ
XugZg8tqYNeMiqM5Ox2okqEyS9bey7BOZDzvZoHWYTti/T01i+McipiCAANh8RUFdXZjNmHFNRUv
18CFG4Jq3ch4RRqLtDiKJamHlJYFADzfHS5pI3zOryQ5ErtOUksZZZvMKNynVJTmI3l788mjpiG5
WA5XKQzmGXVAO952UKM/tUVDgotRNDPEqzT+EDq5ex20uEiCJt6Po1/dpKbs7yzoiNvctXtm5OMC
+p/G1+fh3A4o6fvZ3Xiy93FVEO8wIfTyogs7y1BahoQkkXEmi1XQkhK2img42ZZ2UfnAMdLg6iyW
QxW35pbOz92mBmg+6iKSndklN/CaUqC7iWqvaY7j6y5xrI3XevZzQTgns3Sjmx9llGheajCoe8+j
yUW+WhgsZ0VywF1bHodlBJVeGiw21qPRuiiYGzzICCmEoB5hD32m3I0ffAFak2K4jpq107YRJ0na
LJulrL8UjA61Q7ecr+zFBwyf5m6a0xuOxkOM8DwECu2GYNeNmCFCKjI2QBkbUuBFBFqumqCZb63C
FI+ko1QgtBura1pgXrVrzleCgeSc8sXF6P6tHb7MWMs+J+UFMQBxxvb3kVSW8j7Gftn0d72dDOOh
xv+QVkeyNaWxrPsgK0EHOqOVT/ddNsfBq0MmIW72BGnD5H4sx2xq/W3QuEa+M3A4ZF+Uj3snR/8g
uo4HF9a+f+qAv6gDhBMGTJh+4YKsp+9qgG8/8EcNYP4mXN9n6vbdpCz0foPPBiXI8lleWJ5Wmv1v
AYDak8hVQq1CPShjsPyvAgA2iJ69UTYEzFv5qb9REPDg/6EgYIuBeNVjihea+CBt+/vhsSr7Hs90
GhzNtpwvjUw2YCys/G623fxLWY1sEN99B7CxOEHzdzvCuzEh0x6FyJfGDbptnAvI1ccbx+6jh3yh
zL9stckh6YHfXtTvLgRuEdvgGNeWCBFhiJoL/0G5/XQ7dI0Npokk4eiIlr/4Mo6YK0YkQQ/JXGeY
Pt7dF/27EwMhqO4EpotE2zRGbdjI3r0b3ruPo9KWDh5LxdcKl0dcYPfIwnl87NPWucOoghuEIyh6
67VFJDbGqxzKHpvZKs0+LdpK4kTx+DjHmPotJZM3AoTwm4SxiyCpm/2bxiNzaTMrW1Lxx/PV4ndi
gibpqDe/NIzbusrA9yFZjM8jUYQXzOSxHsRUIVhLa9s5WUmWZ2hZFo57ZNnJy9LE1aHwIrklcST5
JHiCz2seCcT5ab/qCpNmca9EklwzOcCXMtTxIZ2KeE/KQ3B08eDtzRrZDEda6d2XScw2f6mSwodX
gn4dV5qlT3OgxdCemc9/UcIEoayCzgf4W4wY68IOeUKUt8chyrMtuDFvAVpSE+jQzuFlB3X93RFb
QYxvgjNrtZABwOgPd6OuimKV1IfcMCXTyAihQ5iWRb2mSmru22IiotkP8L9YMx9OWBD+YnCSXwuA
ICam/CW7Ttnjcnq6/vhUsDRcQe7oA0yjNZyrZNGAhyj2Q8ZPHnSVmLiEbSGr7hoyKIL+OcVoAjIU
jCMUhxpIiOyPfVbaycpL5vgm6Js3HuBqOJj90qZk1Nr1G/SRwlkRSVbwVHOW/rXqGD8cIuiED9Ew
ZxejXbXbJVSZjVrDG1+g0DBcnDosDbgodiGVhs/osbV3og4ZwM6pIAKzl3H20JpEH423ixGkxEUI
Etl6ys8xvZuUn9xAIFai+MK3a03OOikpZfLV7FRgAE8m7ICaIC2PDdo5hgOzKUUNUczpRzhyk8cc
RkMKAl6D3BB0hcu9I+eYAghu1roHP1AdokroWBv8JTg5UdyBLDpivMp3ssxLbm+7WytCEhvIDCuf
qEOi0zHzS7Mp120vol2W5Gpl+L1F4EgIZj+2UYTl4tLqQ6B8pvBXc+3cgTw6FJRcp6VxorUyOxxp
JuUgZlo+92GeG+jJDqnkVdBxBTpVa54RWShvI+VA3ncXgcUkRuJolV25TbEsX2CHnU4DShTELmW+
b10eZgCbl/bSk+1wBMpT3imBMBxdjOfuybwHfx7K2yXhxszr7A1xz0dhUIQUQf4l6GpnkyEWXNVp
Jj8YKGvPxYREQ1aUfeztxX1HgDaJ2SASmU9i+zM9LJLwFMGLTHGwxsQG73DIb2C1PIRo/1AzcWMb
NTydPr7zKBcJlhLZOiKxZZ2l5ohWTRbBoVs8aK65pz/tevpAEEmyMfGCXvi1s2ytwmMbamXWnddo
X1Kx5IgoO/cCfHO51WvMmR0tFZ2ra7tWV3kKtN+jXTjOk1+62SbR1eCs60J4Iv4Hdi3DZfNeNobv
JSTjCsrJVFeW5jLXLDt0vWkCjsGySA266Go013VprSvUQdeq03vZGusKNtK1bK+r2kmyooON2J5L
XfP6XamtK9aL6THbRIw47mZdI7u6WgbUTOFs6xp60tV09F5Ye3HBp229F9wMY8LX9L0MD95L8lRX
5wnj4VOK+/MacSqkP13Fj7qeR49hbk1d42eOP+w6Sd3PVDK4Sd6bgZiv/ykDWm+5Awxb3TMI3T2o
IqaP0B2F1L2FL2Ln3qdzuG3bJN4q3YMUuhsZlz64wIyLcKPQ3QrcLBoXO0mH+1R3M0Ei7Rdbdzi2
3dIe6a4HbZs8zIYrrqV0cygZdEdS90nxe8tU6u6pH0MmdAxtT9KFBWfqLmvMZA5uMuDIpAUTuhdL
dVdm5IMfQKChV4t110aoFSsTsn2Xo1k0ya7U/V1qFdHH5L3pK3X/xxgoJQpNd4WW7g/JKGoJH6Fp
LHX3uOg+0tYdZRNlNJfQG2g0fVpO+MXWacFQdMLwRUNaeGbG9aa7VERM96D3LaIP6WHV1DIuJVwn
eWx0j2vrbjd5b3w5mNoDT/T5JdF9sf3eIg+6W55032xazkLQ4NAf3a6/7QdSaZjT26LvadHpVSy0
iZPIzSdFamV1AAXepY8OM0HS2PraG3gS5Sb8o6VOgJ5WYI+3g4AlrpAoEa9nzsuXoAfGEuWKcXiX
cgQntsOks+umaBUnaqANLD9MVOd7hhYx6knWO3yVxWaoquLW1hsl0EbHITaaTet16T/75K//lf/J
frfo/Of6+Px1+n9XX+f09btoD+v3H/tWJRMGwNQL+IU248C8MymH/zUpC5mU2QhnBVqK95r3j0rZ
9vWoDGpHYAnf9wmH+1elbIvfbBpRpmuU16ZF+f13KmX3By0Hu2leHg6l4zKPC913jMif3AwtiLVl
iqvs1FlDql6c2gEtWjl+72zNJDQqMD/sxjJ1SO1alsZFbSWN22k1GJf6hFvRMySbCTuG5m2YjYvT
X43L5czE+GvbFT4oCt/rlvZQ9bEHdQw28qSce4PihSg1HkWWhQy58LXb3lQxM4JtDqk0Ca/N1Oh9
0BDDKGy2wn3XqHv73WXhTWNPQoc9FalaLY4B5qEjyAeObBrobQv4h5U1AtHCIxAvHKPJyWP63wT3
CTzUeqJODWwkqqJ0egSJWdWU8oPE7wFgk6lPYT6mrd8vw75qxsBC0mfiV79E8JITVme2r1Q13c5v
G3XjWkXFMF5NGT/qKWPB0WX66dU/Dep/cwMy0rfQ/v3nG/DypZIv8s9j6m8/8keL6vzmBviOXJML
3Akt8ecxtcXN51j0m7j+tPXwf9tU1EB/CDiA8iC/EyBuAWEKDyni32hLUYP81JZyCqCcFZwH+LC8
HxxKRNwHRRbP3iXgyUCsLc8XZN6CL5va9SCNBmSVj+eX9Wxe2nV0ritFDdy5psEKb+l5LNwXQMOM
EjaOx1hwayxz50SHIOKRgoBh5Ob122JpznlCZJC/KztAEtO5N/M0mZFS+JTncBehfO96WZTeaXRa
+ZrH0y0hYz5Ofsvw107i+buCIAaIMG0MHnFR90awLOK09GDy1i2cf3y+FCTZssd+S2BzNYvCXWfS
ZJvjdzKVh6JFwXtDGk5+37VR+EkWi836jKpX8JQbs+bSq7oEZYcKnww0dTUvobxlO4eFle4bdDXV
ylZVuSXPMLjO28r71KKZ2BhhPT0DqqbkY7m0qwcFkxqws5anWGRR1HZiMOmtDTLolrK4yEhsePak
2z5Z0ka3Ieo0fK3D4LWY1TkwO/T7KIDVBX9EVyPWo+vUTc0DRimx7TM7XM8IBPh/7LC9HbIKkpep
lLnpJ2IsV3TBYQlbrqYmcSJPrSbhjofKWMqbAef9w5yUjBWZ7O9BKKnbUFrqSGWqpSEpnSPuayPF
3ZWlX7ge3NssJ81mO9aWcQ20H7qQ63VQ/meBvqKvPiSLTw8cDPUNNa6/HuFP05AGvXXluKP1aNSF
/B/2zmQ5bmTN0q/S1ntcw+BwBxa9iTmCDJJBUhLFDUykJMyTY8bT9wfezG4lpZbq9roWlWVVlikI
EQjHP5zzHZLwatu5LUXYbfyKfjXn9XLsY2u+yuBJ95u4W0iCdtFtjaUcGUgr2jmDM6NxS0Y49EE9
PxtTXkFBzIw94On5KCJ7fkU3oo5RY1UPM1P6m86oy+vS4NRHtW5Mt2M3y94Cnt+Ldlm8/P2/WcAL
9jGGu7C117GJNx6PRu+LQp+SCjNKcWLJPmTlRrVBnfg71oFsOC2I2qt+IBB05jUEt+P1v0/U/8qJ
auNH++2Jequ/hWXx44n613/ydzljyX+x7QN5ZiOIxsWMavPvcsbmtJUO8BO2gqDNlp3g34M/+S9b
kl/Gj8ZccNeLeu7vwd+SVQaiTLEWFBhEyZ//D05YZHDvTlimfoiEIX4t+k2O7XcnbMoGPMW/Et8l
qU8m3tphKsSIK0zlrR9UQlyErHVDgjIGrx16FrjHq6GP5ToNwOeONzVVAHN1wKGrpo3T1rkHfGNk
4yfXwxNJMCxOBrZ7RXoIgcYPd21Wm1+xcg8mk4cGaPCalJwlaahDwEOfjjAIVUTpi3CbR3VyypPC
+u6ECLnpz2vvxVhY6SPD85NKlxCZMmRd16rsHqV1wCwM2DqSFPJCiCQhv8CRXbeqbTLJmB5W2l3N
jjA+KNN48RaWe75Q3YuF7y4X0nu8MN/Hhf6uerd7JpPD3gq2NcDaCxnd6zd4POfLdNd3c+Bz0iOx
2TpEfsOt6Ggmtw0rl41vRhHh1cSp9zHy1nCQLzEl2Ieml1Fy43KQbZBTq9tYm1gEJri88TqTnMtI
9VHpBz5apFWDdGZigdi2xYZvYnoKJmwZS1JnB4wuCB+YGgc+GiFmsehMov4YI6m5mul7nkBBWAxH
xGgew8Lptz6VZMFOMYEEqzCH0wvCd/406VGvSRZNmrXHqPJkNGRvQ1MEsbnOgxl3VTqobsXQgUci
mWM2r2qEobVJ3KbRG0nI7Gf6u1recSeI+mwcPyP0LKISYrNzmCdpyWomib6rJVcB52Z6aGLR7Qak
YRu3jjGrlJG61LMYw1XBhGJjT215YWqiT1BM8QzmtXVBNzxAb8/lKRAA9OjzyH4gfhxiHD8aku0s
4iGiCWwT5SuiGly3hVFdQ29NprNZYISoTlDHBrIwfbLGPG/LByGqNZFb7KhEWkflcS5ii2wZh8kE
nDwvlhr9UiN4jzAwJUCtsDyPCANW6mKDqS12Ll1DuAwtd68e8qrAUKOM0a8+YrNRaFFKeLkTMUrY
dk3kaKRSjQC9pA3+5ZSUgfavZQVXO6+h5+AiUamCvzblxnXPnq5ZE4Vc3uBvQzxVtNGVDIrhCyEO
YALTZuiI5y54A49MXN11U9oFwB4aeVKiSNMifc4UCCFba0JZN8yh0WJAztWuCOP4Lh4nixTRmmjt
Vcmejl92ACR/RVMctxudlN3AzAA//fXM2r7GTyqcNRohElkr3MQWwRaGnhHdFD6b9IIxK7qeLlfn
cc4HAqldc69T1W2i0CGx1bSE0TMLqLxNZqj4hqDtjCi2IMgiSD2m1Bui8IYnm4X6vvXHOjwJs7mf
xzaZL35nvBqzX/CbghM+rj1gjO5NWzrNvGsR57S7sJvKpzEoTbhCUxc9zrNnl3sBo6/Y8/9E7E8/
BgqFk2h6ELU/lkfblW1NJEdmS2x6uDGOb5Zrp6z0d8ilH9xOetdOjEfwoU/tvjoMaWSVR41bYeNV
Bji8pjHPM8zliyiGxSYlfOBqCeCcldtRgZFtnezn0fFOCeUZgUeDMY7XozWUV4pB0szgWLOV8xjz
Z1YYYJjmuyp3YUUwgT0L52Kwvex3TofuSPqJfVWyz9g6XoLf1iBjBDhrNFqPbJXjjelkNt9zKsLk
Rdcq+ZKYrfEBamL/uTHHXm+Zfgp+a2LsNwZR49vckkZ71GEo1ihAkmYLETrUV/wLogOoAzVxhb0A
3tBKejO2MApfokNgMim3MlfJlAmgep0EktxIhqYUWyEM7L7qgcBpEgID9AJoOUoX1T84/arDLcaa
/9GaQudjP8yfBI9wi5J5xJDgF6Z9IPRLXSSh4JuQVDlEUlF9JFVWmdtiZvicGS4OvnIcxnuQduIm
w1DZr3JYitaZoKzyPLezTPZeXTpPdTs+heNIFGBLrjfKqTjImN/2Ztuw1E7G7kwcjHUzT1YDvpJ1
0hoI8BherLEPkNLR10/zdMgd1SqmdVh8w+CEDHFg0eGlfxmW/nuF+qcVKltMKozfdKhMmrrXdPqx
oqKNXP6jvyoqjwJI+X9PgJbK6K96yvP/5bJdpW39t1rqh0Wq4//LEgyBTIZEkrggiqa/6ykwslRf
WGeQQ1mkM/xni1Tr3XhIeKSASOA87FN9uvH35RQVYKS9OQhPPW4VsKx45C6DFc70DEW7Z0zin3pQ
CcaAYLwWvP2JO/ZJJ+/bA091v3dqq97z5ifa+oeP8e7f7rv/UXT5XQlxsPlf/9O1uccfNV/81bg5
OnuT0lJY5nsX0tigrEqRui21TVXe+mwWbj2sq/wdCMhLV1ZXPvASNMQ21sGqDZFpG1VPVhYboOCr
VxTWpWEyVuttNalcfZorI7wBWTi0NMCN9TknZUBqqLcVEP5eGpz5LjiRRcXjNQbxaq3hcZ4G80aY
KW+1jZUNAq5bKVSqP0RTHzILNvIEhqCb1RAqG2zgqK9Q2aLX9yGg43TG15BsR+0/0i1Hutv6g+fc
4azrPvhlla0GXed4zTJiC1fdkNQv+ZSbBLI7RFv3giSldczga0LVisSVFxFpEScyB7N0R1BnlqHs
d4gsqpsNc+MBGlfwkUrL2Ot41ifsc9a+65zmNTYjfevnkH9l0lyR03OqStk8qiIeydYZp71qMDgH
6OtOo9Ebm1jNdLAZQrObWjjTdREi1orJ8UNzb5X3hvA/m07SrAzeg+VmTrPoiaCOSq3IrhjO2MWM
Czg3WKIqmprtEPfjdajmBxMswK2esISPvCdJnxqkFe681BAvuoFe5FdRsxpdQiKZdJixvDe9tLrv
yc6jukNV5/azIpzR0VZ6RgDVOB+SECIa4qX4dp7rLZs7e1f72fA4meZIfQZMbJSVuyffp9hVqo3S
taUlpl4mudsZYNxhdIJqS4SSsXIY/LENrKAlzO2wtupQXvjU6ysCS/UuQbdyCi3HPy2T21NkmVm4
CQoze6paq3ksFZu8egCQtU47g/1xE8+wfO3x2ulN9TVUkdwBsKu3mErIAbHJWsgmXnh2XLak4Ua9
2M31QNEK0in6kvLYrxxbj9TXuDdmuuh7U/XDDWrF/sodmm6bidhHc0+QBlmHBYFgMNvnYmlm4Odj
m5ntVajjiEeaSirYDexcpvVcC/nk8oesjZEGIPD8bkupan2xwyQil26avtl1GJxreKIbDzHfQVQC
l1HLSvYzk40ZXi9qqKPdy0RvysGZovXcgivdM9FYam2qbG9l17nCnO/XGVttx582WZiFADeawHh0
xwYfgCCb5OiP2rryKxe86sjneOwJ3WpgBWTRNb1ccQUqlE9PENq5Fv2y3EcwmE22S/vjBeIVpt5A
1Fk2kDZCYsG1n5HJRmRXnZ5xVaOSLBFA2V68/LqiRUEWMr/p94tvlDBRqEwXRTHo7lVaymPa6g9+
NMwvqp9HElcacfRlAitVEnG5qcgguOEkHD73EeqDVcUg2FzltIfWJo11uqijimGCJavVcxEov6NV
QOiGgsHy+htsOOI4WqyvVqTVKmzifRvl1xM2eHvlT31/LEOkVxs2b4g3Enb5YKNL6nl6MfsWh81w
kbonhwFxBJ73qWiyW97wFW4ij6KYrVhpsGi0AAhXLHFvJMfBVR6RGAZLOMs/Mliq7+POacvtmNlA
HmvMJwbchGajFktKvJhTFCOpbGN1AOnNxbwieUbJUFwsLf3s6vNgRxG5L0P6gZqkePQWE0w4dbB6
q4E15JtHxm3S9DUJW5wz8ZuLBrWBvGviKTOe4IbPi00Cy4395r5Rb06csNJS78Ri0NGzU5+m3Bo+
h16ELWsx8liLpYdd8GY2pAHzYjH8mG/eHwpqcRX5PbLQodcPrlPiEgJKEl2w1tqfSng09wpiv3Vo
cGTeIShGtthPbZoRmBE1z+XENmElgLK6e73Yk8AHpF+i2q8tCv0RPzoWMVxzFqkKYCw9NO0pq8Vb
Y1xsT24PUBdzTtt/53zHRWREw65WsnkGb8MlQt8EZcLZvEsmJznqlLyaesBuxdkwHpPFggXU1eIf
PHSc8/zIU8wHZGCUi/1ihktEoiY+LjAU6tp6c3epyV6cXg2mL9wVLAh7FrlXrSfl29d2MLzoKmc6
i47B4SZ7S20hqL0mDj6FwaN7TOvR+Yh9pzomDF/vfCeyuGr+auNj4kF0U+d2pAtNAo7+2c2uscQH
WNRK+E5gRaVrjGs2xsbGM8kYryqR3EwuEeqCQSz/wTzatwU/dHi8i1POXTxztk0iUR5N2GU0/wC4
Zzwni9NO2854JdxaZOuminDiuX7/2i/uPJLk1UYDsN0vdclLtrj4eEpdZw1KE3OfeDP6QZKKrhsS
gaMVr1N95XiLb9B1IgyCVjMrQUSFAWqdYYfv7CZtxGTu4TH6KBOmE9t6cSCKdjEjTm/GxFAsJsXk
zbDYvpkXvUgN7Ca8xVn0Zm/sFqdjvHgeGYnxdZFwKpL+1jBFej+Z8iEdA5eomMU06QiNv4pcCufc
vNkql53GLX057qA2Kp+nxX/ZLk5MrIl8X6TiYtA0nKR4dlywIMbi37QXJyfKIWxCavF3Ir+2rhuO
M35Fi/8zfLOCUndhC4USgbxbKTv9wkrxc2NYDCsmbM9rOBnVibwgQ7Hl8wy0Q0xiojXhGkOxNRBt
3pOe3t6UCyxfLNj88Y2gv8BgIWAsYP2uae5Df+BlzY7xTBB3hH+Un9h1jETQ3eAtwVECnAd6tZsz
A2OY0m8ClDGvWK7qF8+vKxbds+GfcJUQp4ysj9Qr+hkfWcPcouxdQgK8t7wAf4kOaN9SBKo4g78+
GjOzCUUCz3VtzQBWB86RZK3fsggoT/Qn+y2hgGAi0goAp4IDf8swMHkGgq2/RBv0ieZNwICpqA9E
l4uRaJggIscSmjMolczxHsYlKqF8S00QS4CCp1MO2shfMmZLmSVnJL/puOZoz3HpeeNHbfv1PS5C
9VwHXrIvJba+xXAAbNgKFvIswB1YXRrFnxHmpkPYyswro1ZRt4/zyrqzoUznJ68iTSbsFDnzBfCl
dWaG5rHykswEUtUbq8bppEkDW0dOeyW9yUbZ9t9j8v/KmBzZ27II/3+3decvcfHtHz3dv/+Lv3o6
ydpw8aEwH19yQNwfiacWRnIi8+jPLIUU9gcfOYkirgdXUCFZ9cjIYyP595AcDQFSW5fhucW0i9H7
fzIk5xL/bJyw3zgmf46PMwuh7tLz/bDyn3ys72SuzwcIyZO/dacz6pQfPo1fdWc/XYJlqQsNfpn4
W7Si/7xEMHSIy21/BqLpwG6GokTYuCf5SP/PZ/7/cZXlRn+4EeR24wgxbD6o4rkxnsvxW+v+qc38
w40s64YfLqHiUvBb4xLdfFHmZYo39fzy+7tAEfJuaQGDgFKPHQj9tRL4Y959XA0OoyTsa31wjUK/
gjkinyM2BxucD5d2Yavcs4QMEFB1wclpzG43Ns64Rdpn7aexH/ZxpfVHO5odC2B6k2w0ygmiBHp3
Q01IJrmW8Y4prblx2hGTCRPLB14NXbRSeZc8Tqk3coyq5KqRvQLLXz1jIMWW7DHVw3N56JguUbFH
pDfQ32xScrzOWVWRZVh35UrGAHikJuguMjN1ZdKEfzZyZJikhUzR2awNeUWRT4NhGs02MlxcrIt7
AN8yWQN0gt11B/79A5jnDOxbRHSwql+lnatTEOdkFRt1v2nUzKrRbq5FarcfxmISl4Gl997oVLYt
HZ0cRY5WL+sssWtSDF5qrKyzZ6ZMMx0xAtwb+3uGYfwhqddeqxkSW8mAdaLsa6xzAFHhAHYQaWDZ
RZcg6YdXv8Uz3IN1atYyGNVa9TTMRjx/GwoZPEUVhs9N7mfzBzmw7sfCa33TegSi5Tai/W7Ughyb
Mcnaj74de9FulK24ML/jD1o+YFegPJ1cu13l7UIRmFxJtRy00PcDh6GioFQIkHUhaSaSmRlCq3gx
JwaUM/GtJTqR/Oy2+5rM4wcx2998ZOKfRxtto+iM+Im4SUK6J1S7mJVqa18M4tvcltonK6ueD0lN
A5xkFV+CGxAm0pn8efnI3yMZVXrKfbf5GBsA6UlvVlc5s4lzlQ/B1nE1MwNe1Ogh7eRtGbMhU0zv
aDbMPV0eihtXQjTxCczeevDfwTNmLLfcSdgH5hpcwJ7luq6Tdk82UHpI3KR/SMu5e2jR9q1n7Tc8
GJh8L1lI2UOacnrynCWK0yi7bc8q8dbz+TghbVrBJteVvbE5O29akh2TY2LLfFdlrK1XUHtIrul0
YN3TJYaXKYzNh6To0nGFe9u9tTMr2UdELO4toYOXAFE6ynXbCG7swSfYIo0UuyJaAKIogkDcThFp
61M4yTVSf3EiJKC+rg1l3VukDR6lX8m7wHCMPRWrc6esPLwehEvGdD1fWIMBmxvd3jx0US3tY61b
6vhuRJyJLiN4abFqM94YypYMgs7Yl1PkfRdJ6n0ngKVdN9iYrzR2i5cIJM827GoBOgGWE/7m1gdP
7C+fR4AYdmPN49esbvgkm37MWFFV5sFqLAbBRFVdA5YXjyaGWtLRPBSGDrLPvYf2au/SLz95dtDT
obrRhT2VeehRacqN6EairVXcAxkUlvdqpSjRa3YkN2RVDF+04xTnogv9W3pY5zHz24nNaQMcf6wt
92oAnXWH5W9mJaA9uKC6+MKWZ7iQJzfejUnU3oxNLa+tUU1ntOHuVVo5xd7C+LRG1ygfKrqrTTtP
M3wCw+tBANpcoEb8v2BEgf7r2VTFCpYBK6cCYtImRgrPKGwwv4tYtvkqysrooUZx8tWdZXMgdqHZ
pgabIh4NdzMiittVU9Xs23KAxdBUcUNyU0SPYIqawFBJK0fOKOsYcHLhKuxpAPjRRHKT+AhmAMvO
J/624aNtlfNpYmFCUpw9rTMXHOU6YaeELTxP/CP6MndHKS03xAT4R7fxy10rxxIJ6DKSi1KoeIV0
eCY8J5l3VAntFuu+PhrazLiN2pt2VKbGVsEDYzZE8vqa8Aw+h7GcsfJTed4BCatfULq2HGN9esnQ
5+6jhPDYllPgmWgOIgt7pQ64t/tvKGzmnR2CfrULq9gPZZyx4DCSCm9wab0wuYExl/lx8L3xu+zj
1OCxZyadnt7+dbuQLrYMoY/TSI4uPaEaboc5GW9J5Wi3vZeW05Zn+I144m0EIFC9ertkPFcpOpVG
9OuO3A4soVlrvqRp23xSY9tsehcDwQoctbGNGbGcSUZJWNGE9r0oxuBzIqLyYx/nOSu2rti77hxs
WZCw0DEWeTfMwbU5dsSwlt0XBuXt0VM4ZpkOJO7GC1LzQI+Zcnjq/sZvTT6+IkKerS0/PuPS7M+W
QWD8arLK8VAaPo2pV1nOkZ4UebHpsVbGSDKmK1XKtttAm5wPLQJCvTJHOR98ovweLMZYT23TzxfS
BfnqKsC5a7fyir0aJIDaueq4LFre4DTOXrOydNevaQqMRwJ0hmFljHz1noPeqlSOJtLXib76Fv92
miVYYbR0rwIMGvtQNs2GkRx9bh0Y3p5qVB+dCrj24DP/K4paPvi1NLYuHI+1R2+7B78KnnZ52RH1
yoQ2UePdIAltdKzeX5d+QzMSoIx2iEb6YuU1mVEVDziNZnqaeaLXyhTo4oVZfEt4hx8xuCKdTOX8
kQeJDWpkhLdt0vlkJpGRAU3S38e6KvYeTpSnloK0hVVkBwTDFexTmxyAsx0Y413bpjPmErP/1heB
8SFfUmXmtiXI0zPkX99T2o7B98nkLzsKZ9iZorJuXFRKjyHS6TsGJNOJfTHCJneMPxcdDFW/7Imj
Yur8yekm8anXhviUuNV0w5tK7qI6MjZTHBsboxLRQRF3dma9rO/J9yi2tkZ7BoZovHn71FuXXWXJ
sv3WXogbRVHy4muSK1fDVqxLhFhFxwgLKp65G8FAXKka+HThE9GaTy0CVpgw6xGBBD9i5U+nzp6y
24BwEKKJaR/Xb8/y7Fksig3hUVd44mqGgXCDqCTY5pkiGhrHDKt4PKC3Zp3kR4KD5JMfMLZsA1O4
kDF4GZqz4Ouf6/mcNuV8tpjeMH/0nRzZWhpxBFrWfWTELzqdxhsOheloV0Fxq/Q8b+LSRZI7NdX0
kaAzlxC8GVfSjOJ9p6yUBBmcQ2CCVHILCYPe37HTk8AIe5UMM5sCNRhbyNfjba0aXt0qYkOk6tIA
NT3nKt2gFAzId7EIw+Hd1B8h9BKDEEAcPQ9tVlgAsIvysSOSegdaE0dVXCjWEcJub2vmGWvdyX4d
Rtl8ngaiQupADjtiFowJilJhPDamiQWIuRwVs8B4l/UcG2bY8NNs3SphTh7jM/F64H8MHYp9C1Lx
o9nxOOXVTFntx9aLGYrpLHIWJmIYzBfEFzZu/BjUnCEaXHyIWLZIUewTdOn5gjJAneRA7KjXThof
Ext2Rih9BeTbl8wIYE5z0hXkNl1MOfKbN5ysnNYB/8ejMGp2y/4CLeggk69B74q7xGGuA2apDg4N
hJ99bDrzkQGN3A/Av5c7ulXRaK9n341uLBQszbqL8wfiXPSWyDhgyBUQ1NYtW9KN3Ml+norJS3g3
1A/YJyamlLFxFQb9XcfOawWWI2IGZHzzapSUliienA6lRUY60zW3kZLCW3JyuiFyZ8/TA3G3ob0P
grhfEZfUXoGQ0R1mOhOrbodzp5pdPIzRdGdXcblG7J2/qsJ4bWb3dkR8ubPHIV/qtvrI/Iz4vDl+
HIhaWGvPCGFbAtNpkVcAmCg2IeELOz/1nowCbxc6zJJxe1MHCBAWv6aj243ptcaR7B/QX6rifpnV
CqoqWyKfqIrzWAXnqojCdQoPaCvjrIzRhvYdSswkeg673j2kiFYJmOvGfktmb/lQCWnPzG1NvCe5
HYFAl9VdUaTVE6DuYsVbPWd6VnWvVa/kg7I006LMq9IjqVnzyY79dA+PqDsYEeu4TRnW4k54er5L
QqkfKtRC2z7v1LRmdZJv5CzlFq9IsA50FO0zqFm7vk5pyc0sPrGbm9AwtCRf6jknXtlwDizSXF9v
hjJ0BvSZ3ZimV03xQnlvfSZD2Ttbfgf8WttueenrBCWujfzlLpjhhbaId/aJETW71gOubedI1lYp
g2nmeJpvccN88gU4RL3k7c4TYd1tcilc8M24AvRnqamv2KRF9s3k+e1nVnrqhK6s+BRMygxWAEOd
j+byhpRWXq3MyIsOY1F0V1HsiXOUN+0ntk/uAXfRcMJy218NxpS+tiIJMENafLmEpAZ3varyr3mD
gRNYhSB9JikZPbM5PFnoSK91C2JJGjTYMHoKQa/bIGadjFZ8cAoFaDtwrXTBSEU3pTF9S3vlPdml
KrZA/8m1DLN55zZZsk56TPHUeDOvwog46FUHPmgjJ81JlmTJIal6mL1kTPD18rY9TXQVhD45M/Je
j3RUfPaMWh+NLAbEhWQ75JRfMbjxNoU/0RRb1SeCyh1imLIhXplC1ax8qIyRAcr8sUzz8rqdM/uo
dUAptQ3zKQiZYKeV1xH42AxGfqBdksa3qc2Aag346CyEPB9bA3oafae3p4sZVrYRg8twjPaal2J2
R6mYfBktp/yQ1Gn9VHXVqPaVwaQXsnYdp2zhFpYP/C2bZqotLsKxhgK9VTw+p1pCDuwwepx6u/sW
Dh5odsY716PvFVcOle1rUcHsmXBGb4jLuZnLnv1dA5R736aqXg98VddpX0HxYKTb3gjbC28SiqFF
iIIyB9FofdahJLVN4xLk9/8VNx7LCN5p4NOYTa+coJ1PEIi6uxRNAtDhLPo46sbhxYUU2yry4NJU
TvniGNWzSJrhWUzjw9zZjdjBK0ESVAzWPqlnTvbKcNb81Ijz8xXr/Ciq9b1rZkuiNUlfZC2YbPQX
tD5PPJuRUuwjJO9EeYJjW6W6Q+kMvYhsdjt8QWWAIYaTkAWCwTo6HNUjrQ7vE5K+noMcxlUV+p/Q
HA1XZmXZe/4Ue1OPdfsgYvFVZZ6+7ct2egnnAK1YOnhwFp0pOfskUex7jRvYxwG4Zx0/ontDa8kn
oT6pPhKPMSDzXdIBb7C1zzKjoKaaItJaXaLjWiey7+hBPnIgp7djNctTXUtyEIdWbqusCL6Ufjqv
Mz146Jmc5EYC7mMMjxJoZWuqWxQU9Trsh+K+YIdMhWtc8jxvjy3CvUsQG/JO1WaIJkDaN1bUO9+t
EE9omQzVVndxeAqwKt8WLu6azE3dB1ElfhGuicszus9JwQI5Spt9znG77SuHJV07mpcg6CQeWwSZ
ZZuW+4mtzkPLiYu7lrWR7/fo7bLuMUSOuhqVKU9OWE77dtDPkV+oQ4JGcT1QCBJMCOk2d/z+mlJO
wf/Hmd6EdUr9WxbfIUb08SZrqxenTqrPjdcSLbgK6yh9Kc0kMa+sqgvIRAc+wrRk4GFr7MfONsZp
bfiYtW7ijFzgdVnUpIs7uqxcNJjjTGsWaf+mmHT2WORAT/AY+fsobjBJMMJ6lHbzbRzbbmWihl/r
2tEnk7gR5dI1uBnSM4oqmqS6x7Zkpckxj31r8aUfDPbjoHo8FzOs/JiH1MYiwBBPVZhtGHe8Njbi
UpQeRDQnvF9BBR26UX5RtCAjCZnETlyooSSTM8ZERudZr4C6hytRus5W1g6DlBRveRhYh943gu+R
dNw7XCX2pRn97/UoIIPw0/tg20pHG5dg+hjz/xhsMPgvyEy33BN/0CFIqIsN5hEwbGh3bn4/CP15
CkpIo3Il2Uu+5dnvobuS9XPRG54+DIL5HbSZcB1XJc9kvacfz/9AGf9pCu4tVyNHxfSgTRA+9m6y
O7ojdZLSh6kMXRan/CPOibCBbZNtfn9jv7oUpGTcfOjSXY6+f17KbGTF+NHixiIvfBwTdN5h0ltn
s8Ul//tL/USI5a7gK8G9wJ7DFd/Nq63UNafM4VKFBn2UZm16kDqh5OThXdXhmO9xyU7/6ZCci9oW
tkfmcOi03l+U4HBsQ8ApDxOhvytb8A+pGdnRk4o/3N9Poq/lUjbOJaWwUmJh+udHmXL4z1VlkEwy
RU5AsrgBAqr2kmNqM9EEYlffVZPFBDGbo3OXAVn4/ee7PBX/QMEv18eYKXw4Jexo3j01UyiqiAiY
5uDlBgP4ghuU9fDh9xdZbuL9RRybB9M1l12Rsv95k6PF66L1bX1oW0a3aoioIkLlBDeZbc6HeYI9
0BPRsS01RfLvL/2r58expWuDJ4d9/d4OikF0tAiGJBxsSKctwTH4rJNlEKwMc4mvDqnApojcxt9f
9lc/feDp1OZ8s2yGWX39uGZxGl+WiNDJXa2T7GTl/Qfc+PMhlDy1vuL5/f3lfvWDdDhjTAGExntz
+f54uVDXpoWcmcs1rftIKOie5h8NBuyOP5wyP9PaeWAQY9qCDpyDxnznR/Hn+a/vUs5LOMvbszkF
3VcwAQQ6QPgFZSxx0Xqz+SUiBpPEPkbxv7/dXz20AKgx2grHFt5PPxrltHh8TX1wVCguLjKZcxVy
xP7+Kr/6UPkKl/WVyeLzbcn1w6pMEPXciZyj5+0U6CGCrsmPHQF9JNUfvr9f3ZAwSRTH7AMkflmi
/vj9pWNXIG8cOFCHGrnWUD5Lr3z+/e386RrvTtLYxcfGi1ofLLsFn633wssvv7/ELx8Onj90gTyK
rvrp4fATb9B2qw8Vtes57Ez7ZGP5BJY9xE+RwQlTF7250AYQbzls/4k5/9OJ9vNPzzFNmOcevz+f
0cW7E02QFOWQ7wDvxsKC3SI4XEMzqIkLTuoj9MBi8/ub/vlz5Xow1Em7cm1LOe8Ot5q2ypsqpz7k
xUiBIqcLmkH1h1Li52cR/7YHwZXRLsDJt4SRH55FP7QwdqcZaEOCQxARlfG6rPprRSTZHx7FX1yJ
m/BcrGuW+3NSgN/E8TxNXklKgVdQtDRXYMYfK518/P3H9ouvifgR1Nh8V5xcb2j4H+5IVnlKdI0q
D3NsbnX2xfAIAkyLdVwHf0h3+FlY7S1JJ//3Uu/escyoANERLXboep/BfSHI7x7Uv5HS3bbui/nD
BNZlD9Mg0JtatN7GxOL7WdKybtuZ+OmE7e/ebhij5dphAJ6LOT25XlIhToZeHw7RfA4y+kBRFw7Q
FbZF9FXtNrNhnJ9Un403Q9kxwZ46Qj4Zs6FjxATxhxvFvP3+PcsbnL0eMnrXcn5iH0CpMRyfqJMD
4aLtJx+T/43Ve/eTlPGXfO4gamQZ+9Ms+KxxeOxIAFpY2/IoJXQfl82sVVfp2u4+5AGNET40dDn5
fTV4OGoYLOVlWm+bdGDeGAO8CnTiILsdSgRPPfwiIzG69Qhw4cBue9i0rWevuU6yYYSnrlOBlgEP
YwAVGFGVHw7rWcHrgzee+XxaNsow8pzNF4VW6w8vrV88ayQakrICFYKUAbUUCT88a0He11QfE59L
Ar+pt3znyLc+HsIEQ9UK8P5w+P3D/XPB4zi2esPJInuBGvfPC9al6PuhyrF6eS1i2LjMtzWaqWvp
VO0+8ML2OmL0+oioObz6/ZV/8fOlmgPMYaPF+bnn0CFQxKiTxYEx1/TUSwjGNfueR2AZybffX+oX
N4nAg9OIWQf/8750ZC9Kvzl1xSHvNVsRDBWacS20JCMp9FE2Kd7RhgU7JnKbof3vL/6L+6SuAogH
8wBHyXsfh4JmzdipKA7NEmlTD8VjOIZIPZJJ/8dlgFgOKdJXl/bKXVwrPz48zICaEIDUEiXkfZqm
Ytj8b/bOZDdyJE23r9LoPQuchwZ646SPcs1TSBtCGZI4k2acyae/h8rsi0gPtYSsddeigMqsCDpJ
o9k/fefTXSCadW4Y/3iZEm4wMMVgFNmHegpTEIgLuqjvcuYKuiFA+QHtP70cBsveUHh6/acP0FQN
bgzgikYX+fTYipJclGYuuS2rMHaKmMqKHiI9nSZfbNS/vtjvHyAXI7QhNLBoaJ8eX5LZkNjuCu5M
Me9iQ3mUs/uajsYd0ttvYpDlW/57rsGlSEvxE9LZ862TTw+gXDKVCoMYhsjXBrVSr7KA7Of9zEB5
f6BM+V00+vkVPUJREAp8dKfHC8wEXOu4otR6nOnESzXhnlkDjO+wdEZCoh+/fpq/r31TJfBewBsI
1+n2/n1FWg15Rxs6GbbA3WHK+x1OPND51G8u83tgs1yG1NDAaISHufz7X3bN3lXHJOGv3gFIVO4U
h3leMXIifn0zv+8iXAUpKcok2CXEjX+/yqjoIwg8LdvVBhUtKj1+nnbvTmlfp7KloY43CwYk3+yS
C3Xlt1WybByOZeH69Bu3BCBa65H2ZTsPqM5qyLE2xYwpm89Hjy79XNLEbiZkSoDkTCD5KGYEbS/V
2baIYPc5feQNnMC7ebLkjddlWRAJQXCwhAWywrmNsTj73tMHexe1jfXNr//0xSzAUZqBAI1PXwwj
CXFOZyPfUZ0u1+nkpQdlpM759Yv5dJUtdBeQATrGUacfkik5RqIqB3TkMDhc9Ts10+5c5x+bbzGa
akH8Z6rStoGpniwAy8mNUsiSjWgUBoMsYYyISR03X9/NZzsQtBvKcGBqKHacLOY5VXWsnJWM4aEG
qZnDMTVaGA02Tf5HnzKM/PXlPnt43BKwVgdtJEyev69qt01sxA58olMWvi7Prk7s66IOH7++zGcf
z6IXdBjJJTE4PTHGBvH7XPHx5InlXmUT3odaaL3SbKk2dWS5P4dcpHuqhc03R9Vne94HPojC0SdJ
D6VTFaZbDzQCzQ5Wvi9zGm1E+iDS+ZYP8ZurfbbgSXt0FjuZ5W9Fspx7dGyBQ5yIRLYtMDO/HvRU
Cb5+mB8GbKdHBw/RwfNTg450mvB7nT52FiX3ndsN6kMSq9UGDCnzaKnR5/TmnOE+1dzK76q2v5RT
mV1YuWNswdgjRpuETWMZMJ8mQ/Rqg8s8Rtel32W32qdP3iHD5suEDHIa+NRho1pDUXDajCZtgla+
aK0H58Zwm33iuI9gUQF3w5085qWRPGRD3+xDr3qOmegA9doexFCYe6pI3gq+l0Atxn18/SA/+dbo
aROCAkGhuHh6IOYOvwGOQbUbyvlVzFq7UQXDlGHO/Mr08vW1PnkcGD3yYVtLoZao++8fmq4hfYQY
RGgfaq8qBQeQIepLMwEuRKe+oBPt9psI45OPTtPo2BHRcGL9VtbHR28a66ji9lLrR5xEiq8ztUMf
A+6CoU/yXtaDDJjG6Hf//F41jSomFSkCxNOd0gS0lNRuU+3I1S4kmFuq0vk11Xiozln0MOEB9M/j
Ni64lAHQJntsZSdP16bb2Jiy2ilqJH0kakwllEZ7PUiv2BU2ifTXd/jJtsn1iKEWWziCxZPIpghr
M04qHu3YR3QuzBobXFnJwGAi9t+5lIc7KJgelTr/yYEgMPBpi5IUTfOq8got4ryqQa+cJZ2mfbN9
fbZGDT6oRYewVPpP1mjPSFw5UxnYNUV318XVm2XJO1BQ9SqJ5LXbwdX854/RQHShYzFK++T0A9RG
em16M5e7WZ+Z8XOGm7qrA0Ed4JsLfbIxU1KH+WhQeUbGsbzPX0JEAcyGQQpSwDyyHoE7bN1Z3n1z
LwZ/x8mu/LdrnKwJT4HDbZpcg4F+bYWwSRwaq7Fu9A54S5gPuH980D2GWgQNDqL31VAj/7Lo1XYo
myj+dUxD4izuVyZ8UgXfgfXgTjkAyLY+wNaNr3UPlHc59eFTKNRyWzQMZ5HdTj5jsOE+tlyaFOo4
XllazawuYi/tZvYKhq1Krck2VdHUW7WHCUcCNUaX6JmIDqtkcYlO6st4dOItTLlpn1uMaPZGXJz3
St3v3My7S6qs8XnC2aagVoTLIIOCO4YTYbANs1iHXWwxLJwNx8o0En9I0m7z9eP9bG2aIDk11gkk
qNP905YNGFmbtcmY8Isc2xcXj1nTUDYY0q+xTK/+jc+OmJtgj/I9DaGTb8GKpxLvu6ncoWhdak4X
g57th7b8Jnj9va0GBJSuIYU/agS2d3IZc8xiaIIeoG01uxYiAaM0uD9ldk8T+pyBFL+z9OeoLr9J
mU4x/QhflutSpeWJklyfBmSeKCQKYYuaSDXNP2Jo23g8m8o1Qhc1XzMzQ44jrSJct1kvgxxmA81t
8EBA7vq9xZS/lQ7K3lA7ZaO1uJSHDIay4MSWficdbC/9w9LQ6Q4jo4CZM0eB1+JanCAmDyItvIWi
BCpqtkBtt6mZrVqg9euU3xO0uXhD86Fdwe1H4zkOcoOii39ezBaeKG26dhRHf5AGxvdfr7DP9nQb
kKPj0YbjhSyv6pc9Av8Sq8Bqvtyp7cuE4elqGtRtprX9Nyvrs73ol+ucBkZQbsDZe0O5c61FUEi9
wYd4sf76Zj4LbWzDIVvV6bfZ7smpoUpdVNKsyx1NJ9efrHJFMv5YZQjT42b6RnT26cWoV5KzLFTb
0yTCrtmMypxvRYltGBvVvO1NsWEClFnqNvnm8X22EdiU/TktkOz9Fvzm02TYKVNUuzqtr/XGwc8s
nB6rvH5rE2YWYvubJ/m7RTefytLzJoFlhMA57dPMjch5vsRpKcY+qLx07eDO9bDXqcUHlaHgVSxk
64/CM24SNQSeFSFqiMCrnLuRm228ypzuHSRByDPCCHObr9/0Z8uW9wxOj7IOLc+THQRT0EbJYsKc
QYo3w4seYr2/zQ3mSP6N6zgumSLp7yKZ+/vn0fTKFAvm8XZkooJqTvtSTsoQVF39zUH6WdhKcYqh
DXX5L+fkOzQGjO5DZi93LZqRuGHEdSiv68pCL61dAmG9K3Lvm0LFZwv4l0ueBqzpbObM6KnFDpzO
FprBm2fmDLfbh7rqv8k5jM/WLxkpTTLCR3LhkzJCu2j+59Ep2Gb06bmNxfuQeDgr5JrrU76NfPBZ
CawctVwnctEaKNoymVkz9Of1zSOw0PgxlG6z63QUC6ja0BnFbX2Le0cVuCXWrXA93c3oDO6Da7Fr
ruyyWYyNmhEizFLarPR3ddCRs1RuMAr1GVbbBaM4Yo0I/i1x+2FVTEayxrhTv8Vt3OKwx/zp69X0
2VPwFqUuJQ7W7WkDNs9Fg+eGIPIT8x74Fvgx1Xy0hHVGzRRzlek7J/vPXvGizGJQxqHYevrYRapF
kyQY2iXSwxNAdLXYYNfh4rEW5uGqWWbSv77Fj9mJk4CQiRnomzqfC2nmyZuO8PqlS5oXOxtvPD8e
OvvWjLWFJTlZZ3GV5w9CL1wMCZic/JALuDFeoUU3t+uWkb6tgk/ddyb2nzx3go1FAu0hDPwt5fXs
ycUKwch3mRcBUqwn+7yMCRuntGoe01qboUfFf3zzID4pYjKVQNVn2bXxBDrZOqLRmgWut2wdc8go
qxGZGwZSjU0TAgSFz26sWClMTlr52gMcBISyyVBemFrw9Q8xPtkrF1044xjQ22m0nfwQldEIu2iT
At1yatAaWXQNiZHP18xWl9YZT8bZtynTyEisGsg0FJE1BbfRFZzj/mowBnUzTaH6IzYJvPV2Vn8Q
FpfbeGBJoZjCFWX0rC0j+W+AfFds2f3atNN4zaywGdQwBHexjb3WGHdO4EZnepUZt5lRjpd8tojQ
cF2dH2O38w656jyp3ZR9k5h/dv90wNCgO0uH/rRwRLktzZvW4P7zbLyNGUvbjfaYPCaaEm++ftaf
XYrBa2YNUKNzbJwEIDSdpAR2U+w8uNCBkO6i5htFdvDiPHr8+lof7+30S1uqvwbZK8fgafpfKnbe
DUVCctBbIQxqGsaIvWZT24ai6oPSybUzrVLDq3bUhwtdV6JrvVU8H+S82AKOr/8MJf+PyvcNlQ9r
0mXU5v+jBIKX9uU/APEl7XTxUrz993/eoiaI/8N/qas8Kamg/fnv9q///Z9//dG/OA6O+y9qm6pD
oX0h6f0K5zP+RTURN7Nl5OPPf/MX69iw/kUbbWnPGFDLdcshsPgL42CAnGdlkPDQbiMiZjX+A9Yx
5K2TVJ92DB0ncymZ20xfnp5eCOkY6k2TpfzjaMPaizNj8MsS6V+M28HGLnWz8zHHca+9xJixL03K
5GJAchr0mIm6QW102l0aJsaj3aDaqWy9vO0bO3xmzxqvxIzMZOcMs7UTNT6NK0Iy6yxReljdGXZl
/rDYAQWtgrs5jiUwJ45wg+OLTKsUhPgQ9zEzlLlcSy8B8IXgd9DAn2FfFcx9Wr5T3UkgLXuTucmU
xryMtXS8yuIQ/Fg19soaboBxgFQKiIlXgHu8wsB7vO9HDNp6TJfOdaXG/LDVQ2PfFYZxGPBKghuW
ELKMueyfVOCXXiCLsH3jKouhill6mk/9BZWjK2QC/sDOp7WHQ+t+DEu79jO7rTJ8HQdrl7CrOGuw
b8V7wguHwmCNEGItDFgQXoWvs714p2Xa0DyKGR24H/LLHk3cbB7LQc1uwBGOV+GYxJdDF5Z3onGr
y7ap++lslGNkoavWGfUPY4feWV7kaNVVTVYqvtrCvR4zfpe0kXKuUi3E9gqSb4jjFOr86xn97LMW
ue5VmFcUHMa5VrUgpBwJWDkfqo3jFtCOZmePX5W4zDTpXWEoncTHFCrJruH5bfpKIuezE7md43g4
xp2H+2PcF4WfWGV1q2nSvVZMVkuaxYXvUSrdFQh4ielq7W5Rqu2TibeDAoZxjc6pLrNa9srtbBbT
2nZS7QDMZ/BlnnVmkNB9buhkFy33rBkbo0zQKM+FfKq7Sn8U6gSS15ulZftWZDWvHHW4aLbAF1fu
MHnXI2BhPN9M71avk+h6NGbMwcDDsXFavfGshzCGVqw8Sw/aWBle3DlzEZ9p3lEIBh433aTC4R3T
MtmFjmznfYfqeNomYacc0Z5CTBp0xEOGOrpljDRjkWzGCBoGZnVEd4Ps3sqOsTF6VwIwvYFa17bv
S21C19Qo6hD58KQVPN/StKI2YGuQyrYR5AMvRF6LWALjMR4EY5FWUrlPEjbmSgEwJ/1Y2EbI+1Ew
4DI9o5PDmiPM3UTEP3q3C6tawfPNFp26z6WckkecUjxciPgPdWWWzw8HmOPtNNSNr2fhuVMU/VnS
I6OOZXERYuB2zDskBj9TqOC9vtKpUZnKAeKQUwYODp/3jEYlG+bX8LXnzEe8OWUb1eZ/tgbIPTlH
w0PS6rjLeXF13qQx40yivUk7LQ6Yh9BtoCG0XKFdxcODbRPV7Pi8lbsSH+ItGCy8VToLvp2vupoI
klSXiw9utFFa1NyvsC30fDepCdMh2MB0wcRI7Jniqum+6lQrgL11A6Hj2KZNuGdcvvE9txoPS1Fv
7YxJvjZbgNUSFhgTswrKVnaaPMQDN5y3owvcAYsFbTWJ1rloUAq1aFwCJxq2bptaD1rNnE3add1q
nrrqcnDVG8bb9VVfIzxRGg9feVNiT5OHgq3CjjZh2fhNapVn4M2aN2qaF0AUwydZZ8OO6lB+i5+e
e5n2VUMplOzazJv+SusIL1HAAvJM4mlr2jOgQHfa5qa6qJKafDNpmbYaFf6UlqECTmq0JkHmzk8V
QAqfyP1yFvV5C2bUFzpwy8yo6q0MYdentqKeoyDD9x5/NsSR1R8wFeUW8Le7TsBvbKq6TaFSWQ0J
nS5JuJiCzPteOaRFop1NECZXnRM9V6hIqYbBbM+cqQxws65WOaiQxyGVww4OX3ufdjVNKXtQtlE9
vne1nW+nGIBKWw/aXa/p4bORWUrBaFhs7u3UBNapkHLuO7samCwpTEJZmYiN58FaWwmKElvRZeYB
8hg+xYriXHcCfWKCsVuQFk2CgtUsWBX27FxMDU50WHTMSbp2ZdLeeMhAHzyqgtBIqAxy9sYXWEbK
P8oqq8Dij0n2Qzh5sdE6+i9horsb9Ifetpp78SSGUH1EeMygYt9R4qbldlGC2T6bJOPEhVG412hE
y/PGHhVABtGDE8lC9TUPV7SoAZ9Y6yHygm5sM+1gjWl09DLQGquoREuVt0nn+JmOY8lKMq+IiBih
odWald/ToLowQKiuAFEvOi8Q61sHVvnWEQBXlDrKg1pEsP3hfzy0Qm0eWXGlxK9jEGeqUd/YYVpd
j3OrXhjMfQbLoJzd5SwDEyk88lofdaa503VYt31jKjC+nfTNaMzircONMLBjrNH9vg0Hi3PQng7l
Qony00nihgyw+r7Cp/cmRnL7OmLMtBaedI8y1J8Vr3uHjhb9ILNiYn0qVb8xrfvStJRzvinmH42s
X/Ua+9w8yfA+qs3taKTPEBN/urq0tnOF5eAckqpAo/8x4RlIdbXSA8epX2TBgGVvqPssHjMYDLp4
i0KnX2WpUjE3ZqQ75Ihl5evzZK5nO9Su8gYmL9D47LrU7IsyastjMQPOJWlSpxV+b0nrD3GNRq0B
zHIRTWgVsHd67dL4bqoCQiniiwRQ0mqgS71ztHQOrFDVJXYMbK4QXZdgRrp+a9bQZjnl1nEZJi96
lt0pul0FBoSJZ3ykkh2+NM5brdU3Xa+9A3qhdA3xw1OcpxIL5kBabbIdM9U5eFM4H4XamStYhU84
PJDze90Bh++QvVMIvAElaPWox4RxnIq90Yu9NalAvG3tPhmm7Jiz5ldYZ2sbOiMgE1JYzEJNt3VP
Eaxqx1tzRtqrzVi+5r3ld3E6v7bEn35rdNUt9H0SzGbmWYeFAXF1Kvu1ZUObgRZabBgwLVa14v4M
I/0HYNvwSZWWccmcJkUc17qWWsu6sn4WeqFhKdE1a4EL0Jko++qsk/qbUwxomLXXxsV6IOj4Sb5W
NsPOBeizamDEUkGi4Nu7NjLnanBukOxHQZwP6UYlerzUSye8qsPqUPPSqaBuGSW4gAxs+szYskQ1
N8J7YNSDWku1C0Ok92Mm7JuQ/HW7oHy6laOX1U0XdxUORPgPYaZn2VG1MjnSQZk2+HMCqGjTZLsE
m1IrL4Grok4YvDPq0+84FOykXjB6pqiX0F0vZ9ioedxiBdA4q1QUz3WO1m9uxrsBdarQ2ksgpqAV
2E/5i0G9tOHoTxNGhWHfoYBcRM2Wu5AOLQPHSoSMpnUswWkd7UJicg28VZ+g4cKBLuYrQBPZn4XE
/0v8vkn80GO5lJr+98Tv/KWe8pfy9deU768/9D8pn0WO5iwTwSp9RLrCVPD+ArI7Hmh1mrcMtTJK
+GFi8z85n/cvRnspaXjm0rP5Fd2Hkx9FZPpqTNmYH+43/yTnOy0fests1CIKoxNPf+i0nFGqkNiw
BYF4F2kW/vS9WR4Z5J3uC6C0KNyt7/h3S33k15IGF3QMh5xVx7fn91Gilkk/CNL2tBtH+hyq0gN1
sYdk+8tLuPrz7/sV5r7U0k+uQjK1JMQWNbHfqqItI5q9tOJxN7VgLgZ9lNdZVbNnOaZYq8qQr7SG
2QZTpspNMzjj/deXt7zT0uDSTaBigwbG1XnHp/1PMgIXYLrT7kCC5uNmRKCwyZ0YBhYT8vikxvUB
z1rKhAjgC20lQiPE2VsklMgbxmtvK7Qo0YrjHIjVwOYIGRgWhTsP2WYiNCfDqyaSKyNXSMNHARUK
hFSzOOS40/ROSzm7MVI3C2Y4FLsYNy9I2rY8MLolf4CRmrZhX3xETtpEq1tS1FoxaTPvVDlqd4ix
xEU9MG0I4268YssPD4PdiBe3KBJO66qf3mP8Fjd9mfcPeQeQu0nH8hhqRF8gWTCiGzBdOcahytxT
MoknLVL5g8OYeMdGjhglEtzfeL1DCtc3Qq32PKqygPdLYI+3i2kaW05eblN1GqCFcEk4ayc3cMYq
vrSQ5NOP91AXgQ8BrOAk9TW+KSBk+0Wdn7b4xTY2kpDZGMnR1GIIjDCpD1mny+umaMMDWoxxa0uN
nAR9yVoz2v4hVYv+Qaazfcvb0ddIIfR1qVu532HX/HOqBr4HhzJ3MpTTPYrF6gnsOW9GUmjb2QtX
0RlqsC9tiXcNiPgdXrrT+wAY5V6t+SPYPzePNsr8YzhG5h5Yi3bX5TPl6XYoj2NVeceioIodYOdm
piuzANuwsrtZRXuaE32IMPeHstfXlcR3XtgxmAMtQqGtV/VPM+R/RhnKMD8CiBftlJEyQGl2EqQy
n7OrtNPWTrp8X7m83MkRA6DXNI+DBgtMgBbE/HtKChQZ8bcEKKaMW0ULs5sI7dbGdmN5YaJ88XMv
6t8yFbgsxjHL0ISqsmlo1XMyyv6BObf53JM9f5VBeiKg6K+0kTv2BkVchNnysSvSulQitUfLx73Y
ZoofiUdNoIcjgRt2XPZvWpZMS7JlXkYmbyJENYQ3tpiCQjFMfLZFx3PFmvnFyT38QRHdp0E7KkkJ
UyMMb2w1lD+ZOp7PyyGe7rGgSrYl3BnY9DLbYJXQvqoEQndAwwd8eIB4aArPtol4j5j78aiXJZqX
Y/82gf7fzAAuopWceROmDTzA1Fj/IHvFUx454SFvsqdBabpDnNTFZeS+q52n9qtEKbDVbsJCx+XO
elYZTFtMC7qHSGdtwtrIkq0ODicwzfzZJEZ9a01HXIjUYlGOeu+PMS8Kkla7CaUpLkVhmJdeO1iX
3RRqd2XSiKeOmOsZWgmr1YGLRipRPRsgBM5SQHy3ozu5gpKBC6oLL54XvFAxuUoMHKK82suCj5tz
Yz6CpmqUmxHTpDYY8Rs/ZzyHIhT915upasnHmcLJfQ3f88OYp4VvD2qyayudGtVIQWoLHqv+STdZ
5TUVGRkLtEH5A3dT7wgqzgEYoBvyosXcydUfmbrRMvupr8qh/ZnUnfmUgOLIol1vzKWJvm5WSmon
6tCdk0KF1gEvrM68AcYFlskcp3sNGpxf2R2hqWaN6MXkbG9Yh5a6apnGKlfV2LI1deVFV3n6CiSM
dzCV7KpVG+W6UvMbxeouzEIUG6Ah1vVcM0RgOaNxUVvRbWiFFwVwi0BluGMX6XO8L/TsvqGqu4Zi
3a07c/ojcYtubfbdaxbrxV4po59TZ8b7eGYQsNQ6cazAZq9zqx99OuPtq5Y0ch0lzdnYynCDzFQD
05Z5gTbVADEdK2J6PUouzBlWlOKJfvIpGhzs1D0omSBjy2U5r4QXyj2CC+Spymj6gDSsVZFkDKMU
ef6OP1LrMnRVOtA0zcnHD/FmKp1krReKd5aCbSQDTQdQJXywsL60s2RCoNx5brSfmafyda1X93hX
9bvCgSglWsNdV4OCQfZik96XC9tSRaGmK4V6NliJt+si7ZYqrrehq94ctdIz8rXOs//ZiGGg9EY/
EskaNhN4Tudtv4Ph5GxsbXguAcceu0bP/VJXO8R7GJURF2DyaIWLjXXY/DSqodtGVsSZxwHubkAI
9asYN851Wtryhkq6ttLarMFArotBZ2e41Hnu+OxaPco+IxvPynFhSuRZ9gSeonJ8e7SnrZf0yeAz
yuwGnuUiK+hNgwjRYAhQI6s3KS45ewZMdLzJ2EQoBmVCb1aC7+qc+os4G0g7sVhR9T3D8k1gxDFf
VbOOIsQmJZ32FZZi1kHY9Xg/Dwbk8AVax/ThbsgDo1eqA7W++UXkqrWH/TTfiVRUcNgabzfOlrcv
unC6SjJjDvqwk4cMJwff1nMwHzYpcT4AkG9Mw7x2GmaLqnAZN49qEFiqcDdS6Rmugx67GixSMup/
6Q/HjuCjqdOAGchSnPF6ZYOHR4VCsrjONYWzHCrwPkmM0VghmQsiJfIewKtqWwqx2to2qnjv9iNo
8yHEsYqRj2SVDcpN0Y7uhSbn6YBBBWwjgPoALqVdF29mJC/QnTtHb0TwTE401LioU7JFnRFn56KZ
tb1gzA6XMfKWs3wOjacudSZyWWtAl6lj0nkWTxE111RL1TcBQibH5qa0x0BN1X4/S+n5olDqbYdF
7NOQd0nCBECSHs02an4WRmqr51pj9oxeaiVmBk9AYFRQGVkDO6kqkR8oY5ltnNjq/6hSrfLbfFji
AiGvYa1gK4Y2sVq7WDqc4Vuy5LgTo48svyLeI5yuj55sKhNpJRMj2GFYCWQqzHh8GifW5aSHyY60
WfyhU90l4xOUQHk36uojREpTg3OIgXo4tQ0uInposTmL9tVNwkEwJEfvdKNmDQcOss/pnQaqy+Co
Et4Ixs34BjLCBCdURRhEVkdAFCeFL2NhXc5wB2+USghuNzHiTQcfHrYUI4B+QZAX4y80ij9G0THW
GDNlD+2N0xk9LC4YH8GXpLp5ByWseRWQm91At6gnrrRiGSMYp0lfE4batyNM+wbmmpQQDXGSCNJY
z/eGY5fHHOTfzlSbISgq3FbbOo3SVSF0IGux1XC4e0Wl3JSR1z0kuhFdRgWRRmnZ4iKaP36FJ38Y
GG8kq1DKZVOei+m9JctdJZ5DeOJJqV2xDZavhrBpfyoRbe6GMPFgR0s7qaj5OQtscBtrSvcQJyrv
TpOKi7NjUU/bqLCnMxWj4DWVqSGIFhBQRbD1hMAQT+5pCX/BRjw57ZjDoeQW6OijuCnG6R2FObWX
OazWZZp4Ky0ZQJlOS51nVQkjhxaCm+/XSYT2WQ6hoYYgX2Ig+zcBUK17WRUt7oSRostDyOzOEg47
pS9TWYNiXcJ7CktBz4t5bqYaWthQ8rC71vouodFOh5eWfGb5JYaDsJlC3pJH/jJE2FVGVQgEYTsz
IfL3YU9Yl47d6uuoBSM6mQSEsceTbSOaVE6E3jZtLAhzbfUchSULs8RtpTFoVpWDkD+6zjQvwQGP
9wMR9zct+t8GVJYfu0A4GPZGlvMbPoaeR+b0itHslMTA9bcp7dtJ8KHh74mjSseq4yhigWkUUe+g
xCI355w6ZOVYvaSCuNmBwvqn5frP8b+iN+yR8wmX218z0o9BnL+npFiJAMtYfhTK5NNhwghelE7f
stkVhSHpT3nGAkPq5HEelH5b110csDXP68kwOHjCjggqpaW4deLlM0Xqc5MOpjygpYcdH1rVK5YV
zrVrR1CuWgjcoVJXOCG31neyHIZofsumoSq4i+ARvO0yNfz3l291ClpOukK7EeqXjy+KSNeywMy7
mkZ2pwRJrke/9r3Xp34HLZmGjKa/oM5/BMpqMGVMuKTQ5ww6UVTnfa2bT72AqEjVNDtT6ao+64j8
RhgilADPgBe6+9DWsgCPinmTjHzQBVvJLvKgbKtaDC1sLIhX88I7EkDOm3I0pjOEC0NQS4S71bLD
0KlWbvqotm8Vy5neCzdSIQmVponzVsMeCwqIuHeocrp3bGAxLpkk0i5FZTPK+D/NeDqWqxoQMXCz
JVYfy1lelwh22VPgqwUmYOYfeJw1VAUTJqCMTKz1McQoHW3FMe0kMahGySHq4/4hmhV6jlBd8md6
5Jl9aPPZwWQkHCIeUpJEHElNO66tKItVvxNGmAPuM3D0gZPPSEdjBtxQqT9UIaTuRhowIh17zqM9
ZjFJEM7LPwgJ6MNAbZjS80NKu26PIMrVzxhtbcDGGaPgNCamx3A1LQNaB9xxVHrYNLEJA78eCeWd
UYPJPxHkk06r4GxIRBrXbB5VmJM+cEH8VC0FLGrhCcSaNYmbG5vijyntsk2dUKDueqIrNRtYkXNL
QhGXdvfQJvmzU5M/zqMmntwhN5KgnpKepJJn5y0Mu8M8L8NHVqzcAPQz9hoHx3Vm9Mk2RMhXYm/a
5vvWcqsXaujVizlpxIZ6rusrPttsY7RufUUm6h4nqULtHEj67bykd16Qy+C4YuzVkd2oXXK7MvZy
Py5aWrXmnI/9CvZLR7U7KvYgeMlaSsdYETs514VRdw+qhs2xXurVi9XUyRbyynQmNLLnoC5nToC2
0ppHPaWgJHE3vmgxDuILNtlN2rBkEs9tyYxC04SkVlkz30ijdpgZjBr/slVn+bMqR55KMecroNS0
2hNz3jFALQ9SSKpyOpOUq9FbjtC4YLu0Jmdp8evyBxpY96gNlFmgxHvHSBP1IZmc8mjTt9jWHKBb
XEQtv3LL/oEZWNL7YUq27lIBYkRVXBS0BncOvcR7plHnd5evdF4n7iyeGMW46kdH/NF2Lem2akWX
WmnCMR1iRpOZU/FLZQmcl189mh5FLBflEKahDHweJ2PI99ryqY7L/q5m2RAIiiXPlhzxmqiLFI4j
w5rrrk+ojCzJazKqJPDxaMprnLR5M1VKKPJxFosyKkFzRfqEXxNF/yXopa5jwCaksMrd4bN8NkeQ
vcee6trHMgSPRiARlWDnx06BwRtR8TCaSV5/VHxKg+UDhCSnv07lBJZyvocYnOBaT0CVM+B67EKb
yfylPKBECo8BPa7jU3Dk0S+FvDkBn54JCkJDHL/jaTmdz3xupT9OEcHIsPg2uBHVK1WM2Y0UaF9W
BMDewtmnoVLByZYdaGGgxrziaKA/PoKTXzGwrVPEmfkEmaanBBfaMeW/TLV80SnVGhciyhkiYj6n
xCjAB8GG90AGO52AR60pfDFNy7AfFUHIzfLHbJgUyqx2kD9hxOlriMPTfQnzdBXqdb5XluIKKBO2
NTL68PBRqQFlxfwBoUbtl3PC31ToFHvkzBZnaFz+o37zcUiOGbXbsqJLq6jKm6p+tIScZQYiLwiW
ZIOy5s+lmVC6FCalobLSwhtVy8ujqPSMrpbpHt22kT8qjRqa1kTU1NBtlscBlsBlb5Jp+ZHasrkr
evMKrKR6HiOCnVpl5GRw2GerIeYRxpasf6q4ecNzzHDCbEif1g2tyB1+gt5xWc+yXrZhiBXNWd7k
VCS95P+xd2a7cSPbmn4iFjgPQKMvyJxTY1qSLd8QkgfOQwTnePr+KNfuU1bVsbsafdnYwIYNl8RM
khGx1r/+waPmLSQ/ziG6nDN0FA/pinpTl6ynAA3aZ8PnlbDVwMxPxM1LasTJrTcQ4mnI9f3BtRYb
WnDI0uXrxCv69Vbe+gEIKTa/xaUiDnGnyEPeuOiAHt7OBqMHAh78JL312PLBnQBRR82xb71Eczgq
poBpaUAZIpbCfJjkMkZBhcG921AJ27TDTH1yco5dC/3VwIPEe608LqTQXxEwUl85JkVstT6DlPLw
uUPt1u6kaijOJ4PdzE7Gp2WiTG4L8Dm9Kc0HrWKEHLOPfcKWvH3GOyE+gV+40RskOPaAlj7e3iey
5qdNPlN+duwmbUSbQ5K7P/OGNDPFSU+zU7GwMRS1QEGbkkWx6GPzmXwvAOoJzBjyEa1CT+Fs4Xa3
MQGXtxz2vIRv2+zscTdAjpazbOzkI1390oaLWa39RDeDQklrvpOANo+tR9WukXW4RGM3cjN1trd0
ZB0VgcWp5Y4tPZ7Fu6bp8WWewMvMcq6yI+NmcZraEhBx3Spx6jC3srCKW+VjHQuTyQH1ItjBIhab
tgvIhDUpQadR4y/XaPaxmBDe8M2r43nf89FDRq4s3CygCWnLpn3FJ5ySQzAlPeY1iyxroW6R7vB5
HB3umvI060iiIktlLLgHfanTDY2T+ERVktswAhamftjEBtQtgwPPTtPZZCdBOdE0MRUkk+/NOPDA
Fx/jhMIEUn/769vCXKqcI0YzBvnFmThTWw6VI5nR891sasuuShleQvZiQWdUlYnnsMlAMk1u7daD
W6+cTF23rqIjm7xlh9D9+2Crxt2mHQ3sG1DsddjmEm9ymdYqYJkFLVlrqmEPkMA3Jjm8zDEV9e1n
JZMUt1aK2R5AZTs4HhcrmsE/9XH/p8Dt/48qfzeqRJhMV/aLUWX2BTH0S/3TqPLHD/0nOdr8g2HZ
X8Oj//eoMtD/sJm9BA6MPvjutsvE7c9Zpe3/gViYYZdLc8BsahUN/8lPtY0/SDvBwmSVGmGQgK/e
v+CnvpfeQ8+AMmWDJaykCkTD75pQMZOGKcrOONccJMTUj0mVzQfprDViqtdotJp0wQs7Xylwj9mM
YQrNQ9pyKAat80LkTG0aIHvYCRBTlDNph/Zml3Z+TkwBpwpogdx1UXfM5f5yp/+h+1s/2V+aPxOL
DZwhV0GID3GcxvTnDsrvhgkmmZJniur5YqS1FjlkJV4to6ezsJe4DH99Qct/x+XlktgmIfDCH9Z3
ERu8I6prWUlwx9AkZ9cNrpreIxGgHFF87xHzJoKhktDEwZA6eBFqcjFHgz169iFwhzHeOQke6sfY
Yx4ZqhGzp5CEqkHtzZ4oD7/OwPSbepjv8KAwHkrT6NXejuvmnHerCVWS1UBVRhFLNxQETqvIwWCR
M2KqudeaO86XUgFcmGQsvpB10nRhLnwuFaTxmGylF+fVZnIwgQ2JN+n8yOWJiKjqu2HYIQtbrheX
iaBkbIdRuFU6L9JixrPYWoADVk+Kh/SbgmiRJFsS4qCDlWK7fnI9tUsGBmliPhiUhyrMvI7vhoO4
eNZS8oMSKGmkRROvNUMGM9tnc5ywvHYbU6S3c1rxid7IvYsy0vlRMmJGFSo0YAQzT40O5QNK/hv0
wp62c73FbT+ZHMbpqZcd71/SlSrSTNybL0rWHLhWac4fW9+Ytc+W2XPnsg5fOEDkZm6OsmXcGo24
Dipcxumow7Id+VeIbnw68nYYmM5K0MRpOFCna/PTuWFDyghYHxh4httb7bzkUxI/DYsbPI2D5Mep
KWFvCexQUGjyq/VOcJOyxeYpuHbfd59SpoztwYaoXG25j9YQOZnFbcm0knNqdkAbPiyqWdlfqyPj
GYVWmZ7U+ki8BeZzgDc8zw9r9XMgtMVggNFrXqSwZLtOE2IuoGQC2mOdOB9WhM2nbcoMrGDkwiIs
GQ+RIYDzgbdpRhNWZuwlJKULY8WG5+UB1Km/0ZyAALUqJ+yDs2pguJX3zvWyJO6TNnrGzTS25R0J
LsmLOVGfwZi0/SiDGPRSJ8X4sbX0fKbh45VNJxCrcRp7P0pzjD2iioSw5WTOrkM/3njBk4ZIu783
M0KBN87o8dpgss7tnbLKlbd6PztIfpxEq2E3DcIySICw/VRZm5w30vwyVTPPLrNae/q+5MvQPvPH
Kv+OBni+ZJVOAeoik4mahHeko/4ZorQJjAfm/DyestCEG2qwiFyQd1VWjPqa9pk7w+LyiB9T+6Jt
pnjX6VrbfeoglV+gRrAQyDLlBmcmtNp9QR1xdphmtSHsZnlIxpyeOY/N+Q5HVHEYiGiYryzCzMh1
bQau4mIcqDCz6bRgC1WD+wK7j75mIJ/mXKeFKR8KpTTtibw8Ja56U2rybpmZE5CabbH9qgqu9WNm
61VxiQlFPYDZSAGhybKOakRoBLuv4l5K5shZNOsTZX8QJNyIFrT2EJc+vAmbXYUYEAHVI3p7kYtZ
48ERo8Q6dsd1UfSSwjGcJyATNvPGfMgGSNWRb/ip+2ku/cG8zWOKe5ox4y3cdzJuUtfPE6ZDFdfU
iiSfyepJZP4Z7h2ATEhoTf/Viv2++CjZIQxS92JCqW+bqq5dP5wTLQ62Xkmyz9YskDZCptfzUyc8
nnlfSuMm72EefPSHWBTfHK82IQPaCzy4baWPpnlbcf4oQVUHpnKMa9Mn7YoEbl0/pqYFxxkvPGLv
NGwVGKsr6vss8W9q1E+fnHGI10igDx7+HITGV83wCDFC24JiphtejC6yhiQ9WmUQw3nAxz+sMoSP
hmUsRDd6lXPQusld7QxyoWUfk9Qeuh0aA7cmPrxdYuh+JNK3ra8/dU5rRlalf9bqMQv7muK8WGpC
dNJp9g/kZySvZRd732bI2Yw9ZX2LX/zVMEmxbItSzvc4MCefHWustxWH1IbJi3XxoRp/Nuy02pm1
nsQYe1V4pfeevAsS6MpeWwgrJPSvvM7apHw0cwhzgd71O6X1kEXHGZ8IUn7IPZna27FU1ZXDIHY7
0Mnfs623n/NgSD+Mdnk3efoMn1GQ5iAWTPf1vKn3Y9ZkH5LOLR8x4emSnexrhjAcYJuyEOpUkqa9
g9OThaOY6rXR99j2Rqt54NBpP9VO1aabXHX1zs/05mMKc4lbCyOeKFIH9q+L885N6zJMS7KxInPG
675n0pObErz7YK4eTROI1Q0BOJ69SXWnJjZkoRzYdOSfn0VXNXu/FAtOrKXVHNdknl3iGPd53LR7
HXrihhCB9hMNaztxSo3usYYLMG6XyhtuRG/HH4I2dfdap4qdo6G+xRJU+Wj7XPdGS3txZsNeDoja
l+OkGQEC1WLaLp0kEGdV9ohhycEjOvdhzEb1VdfL/Bz4gTrLWga/87CHRveuJMKdiP+REA3WDejx
c0kkmsoieZh2cu5beShqGAb6ZHEI2RrNPYO+5hyzyg+/rove0c+oijzEUmipVlrY6p3181XtWKVe
OjnBSdCiPcMAYWNoUQ/4vzFmeScTfLsOAxOczqj2TCyQfr7OmEJQ6IIkPtnFWmF4umTPXlE+Z47Z
MH79pf7pYp6uM5ihQIYy+O5WGqxhLaEIPPnlFGybFY0hir2MtGwItr++1N8LWaiCAIXU4jqa1/dm
nCIJvJY0OWI03MW4qdcu30HYDkbcN+duVV7/6+utOjmD1wR3fsd/pzXG7YtlW1bOSc1p/PTjCKox
zCf+ru6oRroMc/Df3M71dv1crPPlVpE+/EEe3vtifakSuw9kb5/A0KiuMKqn+GFD5QSuZzIbYQHx
U5FWjfxZR5Iz/+uX1F+lgBgFYEdgOu9leE1tC30umRIMQ7ZakgMUzMb0Ow/Gvy8FroJeNsD0b2Vj
vntrytic4KF37ikBijosSPn2nv9bffo/XQU0xHeI4YDn+n6Zu70FZV/juzA09zduBmIGoPd/8ZqQ
iW3BKKXbWemlPy+3QlSoQRi/n8wYeBJVMy/FuEDs3C5xb9z07Tyq37R0f9+/2NPZTfhauEpx2Z8v
WWdjvEyla5+0JnY/GUB5J6WPlCIDLijbGgTVDN1O8Yr8ekX8fbEjPg4smHw65m5/WxF4Wma6akmM
KwZWd9ywT/YohTYqB7P+9aX+4SvycqCnpgZH6P9+s/RgKnGpygRvWxGeymjOquuhvdm8MMXawc3r
W/Pri/7T98N3xMdzyvkHX9yRKYCVBq5xKl3yq+vKto6l7qd7Gp3frvQ3P7Ofl3oAOoFbg+0Fnv/3
lZb60tfZT05KdkB0uVGh0sNooby0o5I3DQTJGvoHZfI8UddN1FrdzShgxOxshnI0F43zwmACkSHA
GFWnqsv0zi/c9ncWjH/feBnTWd4aFoKdkvHeraXOnAmFJHQ4E2UqMGMMqJuvOq8Q98xV2RFQ1v/6
SbyFqr+/O7jP4tEWwGT2vXeoRVKCl8SccSfN16h1Z9+if0BTB1tFGhyZaRuv73ueGTdiKMUzwKYy
NlYWzBfRmaIkggrB7o4qCeSPeV36rw+HAPoKaBCLgWf33vtCF3CQR59VXymfolt3cmSsqEhxUK4z
kFL9dzDO395Nl3x7VgNQDq8oZLuf17zIurXoJ5pvtGPS5JiJ5uEial7TuaUb//Xt/6eLgRvhQ40r
79+DPnxF3FAiSPacMXa7y2vYlMx26XIcvaVL+vXF/rZN88381TxLR23AdvauLqoKzWi7WF8IZnVo
LJOs581iIdIl/vpC5jsygYndn+WuxYPDl8P6b/0kf2GSED2bzW7rTVQQMu3udHq4IdL8rscbDIul
7tzmI0iInTAWSqe0IoSn9SwZinI9BhsxX9KsACfQJpqlqDMYVSpPyoOuuUBZoF7WTsdBm/ZcFDTH
b3nRfQ11rfq3G/GbvywOf5xreIG+L4UygjBbr+q6E1oyfzNh+39mNprtE33511UXl+IdQJhPGgrh
EO/eO0g1Zj/ODIyk7loMYXK+P7aMwRbz5ua8hhj/Dj9cT6+/LH08CNgPSQzi/w0cAd4/pVpVpGpK
xz65Yra/YTU6nqQdB09vgIjrETuzEap0Hpt5Nn9zAJjvXxGbK+Ph4Vpc2YTK6ayOhH95Rewy7jMb
We7JgENcKWh/voub4ALryDJREcT+K/SQwt4gjjW6myBpWIGWTLKD2S9Misk+Wy76UIEiqmLFawQ5
FzQWg+TPb3MXWbldDn/QyO68ftFqfhO6r0NALGcOcEng972Td+oJ4TTHncZhsF96SUbsKJe2C5lX
zXfONAONdXEB7lcAHMVhJsZkNUDBUu+aLLRCbnSjqO4n0IYb6fbafiZA/A53ck3tSZEsoFz2MHt1
D8IpkYu5Tnii5wxBmNqyveoLG16uV2LyuGnw+KGBVtkJpoQRMUZ1CHhHNi3gOw+CbBmwb32E5G2p
HCuFkCx6wKOhNUrj6ySJzr7KNVgVUTC3KxgKvTK9G5eZP3uaUM0R7d7qWSOJjz3gnExXVAvFvyrh
/Vl8jkUM8hKUa10jWtZaWpcOUpO6g1JbGAnhdOEi56A4kr4xX1oietM7BOIlMY6JGPv7zup4IGZL
xse2Maq2QIytc17IoTfEDi+/+VJgz3+VuG5TXLzW6L4Se823gEjrqG+WWw/2tRTGCkVNpBGGEAb4
Qb668+JAfMP42AjsYFuYuX01rlRREA0YvXj398W8c1tYLRtwEJCrXqUA4X61uNZ2tGJ+IzLz2HiF
s1sfxZwP2oeZ8HIViUJxagV6bQPhpKXVmbf1NDr9xciIPt0UvC7pHf0qvAdj8SBwahpjtnFE51ds
GIRqkWpriAeuubpXKvgZp7oeaSRMb8q8K3uMjemYQhWIOVeNMbtpZAmm5bdDh+YcpyATj40AlDEZ
9Fk+GLUjS9gbDi8Y9kbEKGqZ5Gx4qwPA7Hn7oEEANaRuA24GpQ9iFBlUM9lMhLbO34NexXeQnOa7
HxCcUw58GCtF9GPnpvOSxWmKAnropvbwY1m5JnsLEdnWcfJQFL3UWO0SGetgsW8gEM4OoL1g82Zv
s41L1+EtEv46001Lh/tqditmbuXd8LpkSGh2cwYO/2M0QyjNS+xYayGR2NR2fuPZL5WRr0isBJ4P
W+x2DxCSQODfjj/PHQAZU7Ar78ohtF6FBWL/fAcTUu/OFdIUta9ajUlDudjcWBs5m7XLAzPJ7pE+
80EMHexk15ZmR0SlIebPw+xZGtRqzymKi9/gq33tzCUSqDyv7WhAzLR88zUmGdvcF6Z9vxgtKHC6
UBuTM2NMXsV5zBggbYg5BwbfBDbTnIIV3FveRwrzgrwzR/aQRMMyG1t46nGsKrB5rXTyUyk70Pql
tKZViFsrH0git+NTpeszUBsIee8DkKlhzKcfJ/7/n5P+dk7KqvlLzfI3L5/rrK6/dU3/8vOg9O2n
/jMoRbjpr1xYxqGWQRFDZfynpjPw/jDBYFBVvs1CwS7+a1Aa/IHi0YL9CSZE6/YXIx/bQgkaYCJP
Vwdnld/8rwalKBx/Pr8J3qIJJjWAhmF1UDTeVQwWRKMK/1L9XOtak4oBxparbWCcxShsjLndFrbF
6H1BGS53swautHXb3iJstIRbVqmsZs60dNeQEOygge+dq4+zKm37yQiorjZTZ7zCLUweK9xaoixx
nY8jBLdrZCn9ncI3LN5lTY4fdkP20HUy8Y/R6M5Bu9fylKyJPq/PXg5bpJqd+1L21qs2oVE4M42a
URG5Zn815ohYHq0iHryrTgkFL7J0pwEWVWUNX/O34a3ZzczGMLmBe7xTC9RzVXTLxpK6FaWeNTxj
ET4xaxpQO14XaKfXWgCL313Bs/2AqqlyIwutd4FLW5w9GulCkibzLyLEsxx4FXUuHDSItR9c7HWO
ndene3POv5bU5dvMy1a1psiQogPr73Mze1igkNy5ORPMA/+JdY1yIMbSaIYI02PcLbFKIEC1N7SX
ubDnEG+SaoJz6HFQIKDZEpMUzNEIK2QDUCmcraLNvBh66VyPAfMoox884zgEgaDrV0H8pCrf+9B6
Tvwg+8X0MWnoLW2Td61TQnGy2ZkJBM8/jXA0cF42MZPAOZd70I6hICH35AZNee5bb/V/qUiFpLKJ
mQ1jrXTuhz7xIy1p062Xueoi6sTO9H2cMJ0pDNQ6vQQtMvsJk71JYQDjL2NKyqzId/4Sxwe7qcxP
eD7BWlSdph6C0ivtsE8mnA7wt/HLp0zivf2ILA359HbgjJ21LaGzQdftmY0seneEioVbU5WXGEq8
YJchE54cifIOTr7bCkG/CbHuRjnxtJ31mFT2oMZRYFTkQccu/lV2GRVFM+W4EKFCsRtRQZsKehzy
YH2Ha1wX2cmOiViLLGUUHT4pI5r3UMyoVRzzmAzy2lnz7tWkQi9rbmyhBNbFxLLPVXzCtWpXU5k+
alqKjRDBtpLL7BI192E1Ls+GPqkdI4R4F4/LB9D07ihgN+M7IfIrUWn6sXXsYtfHwjwFuOiFBeXs
ttPwNqjsOTvZQEm7yW/QoZSLOuqCpWm6pfkYLObnuvdRgRkJhgJpr0U2AcW7pvZ6/HwgDh+pyl4l
1cRJZnZyFkwmNkpVJL3BpmZ8huVGO+xs1XJ/NCRmlVZHidACLWwhyUdJmn5zIP9AB0ZYxfQBg2Qd
jpwtkeWgmYfwPSzJFVnNGPAi8N3D8vzQZ1oXGk1mhIwZ4siWuXHHp8/PubNoGKcA9B8heAzfYF0t
G5/4853HYjuIdtwUGDOEdaIQTAtxrCfng7DKS+FnV8qIqUsHHZ2reshcMs/1Ljjhu3PpAmhcqjI3
KJy2CQod4sDTyB/tx06Ivb/M1zlSOVjXw7yTbdlvx1jhfhjbT67F2J7w625jVOU3zHMkvLPJ3QD3
DB8yrBh8YRhR0EMjg1DPJpj513ZbyTCvCNnUydMLMQ2273VEiNtqljXD0XHi3Wrx2+R5uHvqni7S
0mA4+LL8ojx8+yjyg5PLdnkaJBMzUs/ymzTocyhSOAmyKoz7JBX3I+HmeN1sfNXUN7Nv5y/lupsV
Q+zhHIQdxbltTfuSmcI9Ne1q22HklDTY9D57Iv2kax3ljDl/T/vKOCReR4uSiTKEDo6dOoPL07Bk
1rZjW7/vrQlmqXKDY5F7l9iV94zB9R3bhH9ucm3yog7/so/sK8PGHL14DFurz29ycxgj0Rf9XudB
7fRGDEy0nPRizXNwLWcddoOGN1dePUNnNiNGcrfLXO3Ivk5D0jE8gqC6S0fWLXdolTro+Q5ZlMXH
a+yX1M6g0KecDoKousLAxSfvH8q6cHdmpeIPUzFdt5qQ2NP0+SO0lkcHYUBYauNLp4JPboI2D10s
7/HQok8uUQea0w7647Fx831g5jF3Udg3ppGI/eTLLzWB7FtHqu6g9+ZDS64TL3DBJKNKy/HsiAnv
EMO6DEGLa0r65BYmjGyEGjr+xyE77dbVgs92MDF6tZ2oWPfSVvPv/M7ad1k+X2YeXRW2IwEObKP+
5yJOjE8l2a7Y5XksNc2mY/XGa28Zt6MoTnTH/c4ZhXmWSEBDMbaYwKCsTqNiKf19OQ/qmDb9oW/z
05jFxR7mYBYlgdYyqtR2HGZlpHBvw+wMWnbY2IP9xdZ4XhB8Nf9mUbp9n1YrudWT4hr1nBYt09hs
UR6nrwRM2diXDVdzJjgTpvLRsMdDjf4xGBUHax4EW1P2H0ZwUJF51ZdxrgnZWz7lXlFuR74PxIGm
iHCrzc7jAo1fVsbORsNiRonjqJsZqjG6hFi0m4Eu7OxkTrLDFGcJuyGxnuNmaC+gR0Udagxn261f
sDONlVXfJdrYoXqU0M9hC0ctOnyitp18YxhGu6uHdrgy4YnD8jBpXgYdGZmlPWLgth7PiE8aN8BE
yrmZdM98gqxR3+pJO84beyltZJKLyodLnWv+MegKdZpH69Ge9faVpAAtOcQV3Iid403Qba3SIDrC
thuY/Jyz5nbsgy+VNt4ZqZdh8zP1l86p76Za02ggtXuSpYfbYs4+dtKSO1LWmxOS5Y9+hxkz3lIn
U4P8AnA5bkz0JZ/ZXu3DZCzxS64MuYUHJY+EXJrbvBnTvQs1NfR9YiKrwubLduNzkOBIXuu+dp3A
VnpqEYmHWCr7313SdDYDY/zQSa3ypfG95YM3aRBJBv8Zg60WN57Ke4JCiyNb7OqR6aU5Zmu1Dp8C
8BS/niq0LDy0ZntdRDywPEQqCtGX+Tfrmo+X0MFsq/xrK4vXRde8SxDU40erG7c6k/gbSK0Yr2EC
DVelNRCLZCSM0BRLO2x1WZ47pRrIzzgZMVVPrg0M3PoiLiJEOxBFh6C5QI7ANw2i7HCPLts/KM8V
HzUVHMi0nh/GDtNdI8iCDMe/IrvCleCrKPwv7M7lTkBZ3NDDDY9Zbpzd2gr2bSCXjQPJaxszp79G
y+duehPOeOqYwC9ak5swLYh6IERMXOVGp8Ky75aryp6Cw9QYM4pL8aVMyOkb5jJDj9iOxgc2yA7C
2GDhm+b2U1ru7TqBV1HZBYdXp9XPgtHlGYWCsyupBZ/0SVoLqozSh9RgL9aHKrWMVwAV99XOMA0U
qk/IPUoFDN6SgmHgnptkpMF1Qg5pV+PJG5QG8Vvf1JZ5G9OoWKzbWuLUgbZlU1F5RCkWJEkaVbEB
LnmWcCR2RTUmHwKNQtS4ptCKKmQhMlBH15y+MsZy9wL276ZiXrYdYH5DTmlMDNCcAPtNfc9TOzk5
5lvoqNtN2TQ5yo/h89jbPYZa7RDW+JhsnLKJQxkLzr+iwXukhrodt30Iz608WBANwlTm46nWJ/wB
rZs8zS1oQuQhl63rn7O0gkbYM28qvACaWborRyEv+BTbe914HcqUggk+BJGw8SOoUxWWwtzEmm3h
SNaSQIKVoU9WNMPbpd56Al/wmveuQq0bMlgzokar2yizxw38IsF2AtEbAuWIqAq9uCrSz1NATigF
/k73ucXonB7nBj0w8ZQwg7LqPLnZssFDChLdTGkItw1hZuK1nIllc2wa+xJALtmjSf1S1sMjrBoM
L1x131f0KWbvwKaGB4kwuN+0NtaIVuvIa03OI/R8zXxi6NaFfVlVj3PfAaDAx0dSQoR3bki0aw3c
kJSBamjmDchapR4r0cKIgqcVZU2cfS2ksTFmT2HryVs+l2646MSZuLMfP3pGeSXSwb6RdtBHg6i/
U/xClU+7rZGrJkq1wuSRjlAduxQb8aF6lHaebUp7SHYCs9OtbVPsmMIntF3Ly2tMONY8iaLa4XMk
blw/ftU7SSoGqbb7dCrme7FAhQw614iW0qPqMdrgVm/zm3pehhtTb6KqESTRdnLFTPTlxsStQSOk
jqysxkKgPzKAD7zpiqnv14Z+A9X6s+mrl6R1957RDVe0udi05QXMGnWM/WLcwkrbl+l3zReksbmd
fmV0eXsQhbwjNhdjgJTtMcWQDfKCvmtb2lvIdNYeD5i92TgGaFV+Rl7KAZrrJ73wH+GrY+WdqZfZ
G77EQ/LaNAXvT2PdD/01nnuPzah6CPt18lnTEMwNKDGQBKgosbwrnAQ/+W2zkUHQ7AsORzzlfMxQ
EFqEWq0bV7bd3ucT1ZnW5XrUDwqZeoFc8aaIGyxDlXaHRnvEFLOaFUdCHvN1OQkE1IM23S0+uWOS
N/jzItNvFuL80IqnBcs5s5PhZOO8gDKmei6bnECZLDMqQtNM/CTnxiop8BrpbfC7qe8naJWHUZsF
QVpusc8zLZFRayIWjJqCoa85GdD0AD9pclrxOA1+CdCZjkeq6uIYeGm9t4Pa3rWLSs6TPrg7WQ8P
i0SFj93/beAP+V2daQbuaN1wVmnmnrCWkAezXIrTgJnBzpls+WDXmOr50nyhh8+vi9qmwU/0W6WS
EYVHk1xZIHbRgJnWNZAxngOK1COrQYeaj3RLI841u56pxgZrVwqAGs5XbdmbBN5gWAnmdVnXJxuw
DY3xFknoNoGXbptbWzMt41sXmjAm4ssrDh9BWJkepN2SO0ZRe10PZGXIfDmSIgRtcRpvoN9RVnQp
RNQi+IzzVbYRvgfvs0oh5bZOTRkk1WYq+PVdMAEn0mS5M+UeXf8O03LiX2YzYoaS71KcSY7UjUev
qmFql9W4W03It+zmC4/eqbclItSccCCaKf8y5Jq9pxUGcbHm/HksgmCVHOrFNUc1p9BEt4DTZXDG
89EPWxKcNiYGoCGhvZEG5B2uDp5nb+l0dI5ldugK24ikbHOCazr93BeiP3WN9V0obFigYYVrb2Gq
7MZgd9/OKCXvcsljbAqEfEGBhVJZTpEGqyx0m6zfFPC5z5Od32Um5Maiqa4T13tq/KDbU1+LaG55
/bt53tWGvie+e9yUvUMvQz7R6lzAr4K4CfGx/6aaFiZhf72A3+P5HINwW3CCBX2WadVRhWopnPqU
r4cuCjVUBLeYXdnR4wNZBPDBi9ahaFlOEys1GlY3A33o2SMdQ+K7Mr6OXv6KHJxIPnGHQnQ+Zt1i
bmghz2zRTxj81xiDzFtaLd5kUP6oH7spZDXoN+QEm3t/noBRFIcumC+sbeOy5NrRx1RWjW4RYVpQ
BzQ6qv4obA3YZJomf2eCMbN3XswlWfhGY78t3InOy5+iRNIO9hgAK4UQDkRgY8TZdEoxCAgdu36t
+ya4zxONB+k7ezFhkQjjUD3CqLjzVICFT2uYSB31Xd+R2mZLmRNO0KALd9FJYjXm5Q9VnH7zDXHT
KfNc+O6LZZig4i+9Ue2H3v+OqXRLm5stW+It86ircL3O68jI23yjxPi97cn1KrXicyq0dCtW6L9r
NYxKG5xelQ9WovIg2eAcboQpJpIhuxZxHPmdTNmgow7D1xmar+3dohMzMStN3RZaLXGv00hTPopF
8h9xkkN4xzZCb8W27uZabtLeY67vnlsMbFBXRW4+M7vB3HrYgeLAwCkHJyyU4QlO6EUMV0yU5d7G
aybAmtuWx6wUDEDY1fqQ2aF0KkpjkcLppSLvHzTbrbpd5cP23EmtmGRkMWJrzi49wsL2YQ7ZDs9r
QyA65h45ePlKQk0X/WpAAvPaFbNX9NigBR2IxY9x8/9rvH7/rVkt6bv/sf7iLxQX7HNp/z9//mv3
4+84F6zo909/2b652t8P3+Ry+dYNJT/6w+Ng/S//T//xT//73yHxMJggPfz3iqWbb+PL159h+B8/
8icMbxj2Hzoef5gqwm6EMPRfMLyxcjP+I1DCJV+Haeq5pr0mhKwJWH8KlPDW16EZ4W3g2ybRNRCE
/vN9736Mw7lV/63Hg2Guk+m/jM1JUQardHGZsiCKIOR4x5hJe3seiX+xrr2489BX2s5xsQzAL0eV
eAqllRAsz+bk4v9rsAcL2iRF98aIuNwPZieusBQZzE/oSoqbxitlehZ0ouCcrQCTHKS9PFmjPX7q
i0pu+mRB9tpCT4qC0R+RhvQ5y9/FQ20/TItxGbA6eK7HeLxVTHZnlJr1NLA+pAcOHstpl9GhHDyJ
uBFtyIjvabv0e5chcRO2aT4XOEAybdtoC3pLe1k8MlVnf0oO+PmrYYNEQH/FMQ0rFA7x4qvwNHGb
Jc5YsclV822M0JY9E5hd3+C3tUb30e96x2aRttqxec7tnr2Wf7VWsvkqh13uBDre5Yiags6+qpZZ
O/l8QFgOscIPDwS3su5NCqr7wM6Ti/pf7J1Lc9xIlqX/StnsIYPjjcVs4h1BMkRSQVLMDYxZSuH9
cgfgAH59fwhVVkvMHKWlzcyi23rRuehSMCIQgPv1e8/5TpYPH9tCMytkM9ygFwnidQShcJ9p6R/K
sKjadebUwLyYpWEaDXpYx4YjaUbe2bn11DXwvOdmA8a57tpDJNy035eRRem2D1z8YDtfIrgzN3gg
JKjivArGs41sneS4bhqMo6NE3ecwqFsaExlipaoC+A8+vhhfVFM4iN4HTMArSfofDTw3Bet/ztvB
CbEDFKkMVyCgZLlrgiaIVz3+Ny+mE5Zk0cdITMZuiKAL6LWrUFJyMfvB727xegwAxVvT8+sDwB0R
3ViS+mXTOmpYbhxMsfPI1HxHloJGt196uG5PXdf3jXmGBpR1NqMIpQY9l9hKLMY5n+Mosaz5FRD6
VMkv+MW7ktURk0cRPVyf4v/XS9ld+k9Zq/pr9+PidX0g/3Nl+6+14IVoLH+24Ol/HN7KhvAE+dsP
48dFicP/4011//t/Gb75wSOl9Tp4tFhBf8fJWh9cd8HGmkThEE2/LIe/L4HuB3RkaH1DJOIwCmxU
Wb97NK3Fo8k/Z565hIyY9t9ZAt/pyKDl0sgAcYNDk0/BFPSddMfwxpgaeEbQTzlnQ9hmYhE/f3dR
/rXufs/SeaeM+/Ym6KHQE/M9/6BL7erBaFAsYjXPkWWMvpqxtgz+usmdbvvzt3oPkl2+j8NlQSNK
4pj7PuKpLiMAFrE9k4iSYn0p0vzGsiifRd3QeUAmdyg5lkOGch3ADlP9F2//h8tJUYe0mFijJQUY
JfyPl5M2c+BqD9Y+fuqLVfovQao2P/+Gy5/4bssiMZO3IArGRwn7JxHmUhpTb0aiPbhCX7CyPasQ
JFqPJJ8Mh/a3n78ZotE/vh26SWTaqNnwEZjciN9ru+y4dRgDK3VwNESoOC9FA+fCKAGlR+WpYHjj
RLplyBu3nblybY6tSP9CXFFlLtnzFD2OlW/FApUUgNsjXa0Ql2Q9hBwqigJIt1JhVq2sVuCRIalp
JRGAHDlx2b9amd7Hg+q+Vs7iNpWdaT1zRkK1M4V9uaHTbJ+ZlYdw/XJ705vT+Ax6W96mXqzjFWMR
ibOyDcuL55L1BGelBmkm7YcoBvzmdpAePIIxVoNDVwoLWXzu4Sau4hIvVg3pCeGm2wKmnOcj5/s7
jnDDzi7Lr45fPNap80+GAw+drMu1doLy1JjjL/Hg0KsAlgI+ib8J2m7e5M3c7vPWTdeyEhtXZfo3
mYTt0YdtRcKwsUnDGvmkBXNJ19o7j/RrYch70Yk97dkH6nrKEpj2rWKelA4DwiojvIzIuDaTyDKS
D9r40nlMTvsgX5vhQMhFHdO50dEA9KSIthlOpLtKLVR4zlIRnoEbNza9fKsZ+0ww7KY4PHYcgEY0
AH54aX3k6QnF19oKED01uFXRJTQiEpCbpPSenMo3XpJ8kB9hg/B3AkSFl1rkw00h0/5AFYkHTko0
bngJkhvI+PKuhqEIkwega6mZcmAAyO7bGgxEpiuxHabe2g1pYT47NRS8aWhHjmCp1b/2qcnQdG1O
4haDZHxJk3beVmktVpFX4slqyWhb6XQxR5EGdAslST40cyXvS6luI0b6r+0cdBeHjuyBw4+4E6Pt
HcqKe4EjRLrru2rcV6X9mkAV4eSe0jnLfHs8OCoNH0wvzvbQtOTdHBv1fV9MG0v101081g2kf8CQ
O6kxI9eeG8er1GtAGI4uJJ/Q6W8gBMIinBPvHlPiLopsJK1RRyZzKOJf4C8lTLjcF5K7T04ZLXWm
fgA++EQTG7zUkBl7h3bvTac4g6bJgHC8j/UDzlKxt+yUtEVkxYeJdtrRbVR7M5ErhvIrduuP5cS+
wR2NKBonamw+2FE7vSmjNhd7anU7xJlx08WetSfUhtMo0TkVTRB0WHnU+pvWbHm3mKQRnhfDsOmt
o5+PmgRpsxFEr0HeEbQbxGRCRpG+GbMsW2NC1WsvNJK9GkzQfnlprCzHZIYf9eMacGC4sr1Cn2Yr
EbcjIeO7KMPiTHR5RjMGkJDnJ292ZL+EYmY43HXmYzpO5sEi4AdFxK0RFPGnvDadlfC50jT3TqRq
9OshyiXcHMaXEdAW2jmYP705uzNUS5eujYoNQsMv+DGRD2BDmlZBFA/HyIh7EvXMB5qau26s40Nm
9Bgqw0bvZ0AXazI32yc0bX7J8qSNTdPKetdbtf2mBnyVNck9WzXu2ia2L67bhOtK5LI6Vv6g7nuj
sd8IIQyOaaltmuAJESdDAo8xoZtBS6CZz1GRd8jsomZ6qkVQ3LIgzUeBG3fVWO6rrAnpBlZurHQQ
1WtMd/Q3zOQWWtE+YQNArGAO3SpeuEVFKaqzKoNjMVhPeZnQso4EbatAnhwZGIgIjGgT5UZwF0c5
icZhtp5btfV7y3nrTUhgWW8PHxuHnsHKLXj2WBK8j+mUjbeYOoqjV1ryYAdpviFgW3+uMe6uqIYW
J1WYTUQfeDxANEbH7GuIRu5FIOO/RP7sPKBs9TYYW8VaFGWmVrVb2HufWIWth6SS58Qbv3BgMD7m
bQVIC9RxLv3s2U1Ig57ClMZ5K4tFCAU9F8uEuy0CLAr97Du34Mh0SyN+Hj6WKjAO9J89Gjf+P31h
x91qCPnd28jN6OoE/qVQo9ijgyy30gK16w8TwuMcCLPwwuTQQ8G6qceegK/OdT96qcgPiRHHsGm3
JUCCfTElXP4hGZ8EK9fGgspFgNFUXGwcymvXFA3i9i63Pjmtt/UQFr9Ac3d+GQcvOXvgY19UZW/A
G6DWyRopz71oOgY7JJN3qI0ODt5b+DXcZGyeXytQouA0JcC7OFJH9kd9HDLCSsJ2rH3vho4PB7CN
Vaj+W13xP0X+X3Y1aDF8VxX9QV94/k3/4/SbVL9NP1b415f9XuHbHyCqeNSeDqmmVz3gv6t8lyqf
Bc23KEjpy1Ec/17kiw+cIWGFWks559MY+XeRbwcfSHfAI8r/YmLy+Ht9Dk4G76o4pjk4HuDBkBfu
4w57Jy+0WigTNg26A0Th1MaSbXdbCJkyv4Hg4d6MpmyHT7GrolNtpkl/HNKqe0gaEMX7nMZcTqt5
YLaMShFKR9TbiEAkeIdmjOk4RE76wPzapFNc4aQOW5aY0dBn8PaJvWEwHl1Gq3I/89i/FYKCgz91
GXg+P3V5PT8oGV7qhnz2ouJAsKrBWMGJE2inJPXTXU9ThlD4LBBIUGp71TWd+TnExg9lwUitx6rS
+UlJOrJ1GaTMBnihBsO+RdIwnsuxph9rCPEYzUQNl4zdvipLMtlranvUq4HsoCN0BbRCzpg3b/bA
bH/WKlzPDuDh64W6OueWOFp+/xTFuOLVWgzy6OZyDvbU6yG5M2V/nGnbr1Ex8kLlamWhD1ia4F4Z
luHLkM1tvK6KwPxMjMJ85zUD+XUWCLXSRFfZaSWPg9Hz7iIgUBllw7RTaReCrajtfpVgcWXymabQ
rrTigCOzgBrYamLjte9JoCDVjPO/19viVgYqNPfaFcXzlBfMVoa4F59luRTR+Wjy1woyqD4GTWF8
nQmNXY92G50geiZfDBbLc8PQen/9fGr5VNzZS1Ya/z1adP2r1ZVj53t+RfCU7Kt930M7qwMIa2nN
RVYA37cQZQgN9rvUYtsSyPVXfQdV8BZ9epJAixBkmHiqk/YucYFz7O15KTcymkYo+ur8NDv1cZAO
uyRCOZbKNEaciArR2xE0FTDbJmMNdFnJvYC44pT1Sm14d2QFSrnpFhoooRywDp8l1JZPMIWmz22T
qNsAVcElw4a2Y+ImPdIhW/tUQZC4gdqfvGTQxfEOE4zMkTVdB17GwCTvqN4H5CPrbHaNrTtbhO3i
B3ZWpEUh3kCh6C1Cqfl1rvS0B78Z7ovCsr9qD8UW0UhlWcMdwBK9ia0sJYo9MztyMouavxWSYLDz
iN7U1tqhV5gCM5C1n4HmzdVjBLYV7qrO1zZbyGbuzOiu9MAoAVPSwV50odjJIrFJ9QjyfRngLFjl
RE0Um7FLy2CfC1N96mrnMzROZq+u+UI/bAIKO7Q6WWWIEmAzQG8oY+ifayU8bwdNEjGgbzXr3syr
U0y8B5OdPpAM9Yr6Xnlz+aAM29vpaSrvwZSJUw+WdMWAKt6WdO0XyUe3JR53PiVOmxer3NL2Wheu
/TQKj0NiOSGjADbEgzrS33Rw3IOWx6GLUSTKdxXeKcj03cJPjjJcMVoZCB1sddeTzfgRW2N+U5HQ
ed+5MWKeZOiuoGUTuDosmGwVGCElAj6HfqNH0/88zEZ6FwkB9l9mGVGwsHomfvq5IVShwtmkmdXX
SGWmDNPK2uQ1bzOIJWqhTCKXgo7cfmqZamRbPYhk2ycDMlRyKeankZSu7Zy1yXngkIChuKnBz7jT
3mp94kiIbiBjS8aNaWwrGEQg24qOyR7MBtQnFbNrzUIhVn2hzc3ggbvWBAU/JEBEXkK+v40lgr7g
EQyvrzbeHIMgjJB7GpO3mCk0lfiqXBweK7Pt+zUS5BoHUtXItSys5OL5sTlzymb4Y8kyuxm6LIe7
J1PiHjMLXZLtASCR4TCSFRBXaz2Vb3h82q1MJ+tYcxY411NvXHICTTghW/ARQz1mjPmrooOIF8yS
Bm2OBK7ixAidbn6wvIFVSXl99HpdWdq8i76GY5mfiponFIKUQIi0PEWQEN1P48waBREfp7lhsqwO
y6R85U/sMLL2qv0Iw+/YVAzAeRy09Sjc5Y26RI6bylJ8koJcwDttgg9aJdoIqzNG7OmMOqGeNnVN
grnqq/kODqD7Pwlb3PkEJP91ueTRA/p5T/SVyuFdsbS86PdiSXygeWAF9JN+p8z9u1giR8szLfwC
vgeCAA/7f1ZLjH5o7OEbBoIANdbHQvF7S9T8v3FjUJD92GBzsQz7iK5p79C09N7VSmJAvWGaMdsP
RiIyMavY/WhL3ZznQv9NDoKDG9pGfQy7AgwILeJ37VeKJgNbvqiOPo6i8zzA6OA8Fj5PXIFbglL+
ypj63ia6uK9NJme+iTWVovTdd2MvtPwGBz2qhYXapU0ifxjyzCAXRoz7VRfhsLPHQFxQTVmX7+6D
P2kDvy9CeXOqUBArAb8e0+13X7Y1TEU1xjF5lqj+iLPHylaIIbidxIzsNprD58gy/+or/6Ffyrty
tWy0BAvRcLltvm9gdgq2rg58SNGlIF6a8+cXSGwYS8PFivf3zb9IdwQ3KW/H3Uur630PODMNxBIU
tZwio/rGZ0zEILHD/hDYYOOiwXv9+WV9j1mkve5eW8FMC7i4oGx+/IaTEswko3E49PXY5qvei7A9
zjMAhkVSjM996nH8B0XlHP0pF4/t4FbPVYOnG3NFPleI4ZT/iB3F6ldycHtk40ulRDti/IyW/C/u
Atf/w33gM9W1ePZpLHNqWo493/8iVUmITVZ2/cH1wcmBscV9cKPiwmx3cc2ui+xH6BM78lTA+utc
mP9VPD0uDLEDkdmed0pVYB/LCUZkbCvprYDncC+piBjXK1qA0O0yOQ2mBRiNwb84l4hFyd3IF94B
Y1tkRYZMUS9MFrilxh3F2ZA+yITeh7vWGBPMx4U/GKV0ElazHGr314Adftp4ch4HRM6tld1IewkE
Z5XwNmmAoueAhdV4wZMQRo+tZMfF3ZO1drXCfm3Q6AbnJsRv3KUjUieRojW/6wjVch7GatK3lZlA
CfDcjEMJx0wIEctCICeillbjgH/Z0MxDw7yVAXizljCpzMJKj9fg+M0APA7DAiW3h3tTKbrSIfzn
BdSWhVukiO5bIEFZfvOrlkME1S7pxkejNcTF7UgmSecUXy54JNpYUzi+ouFBJgKWCSf2lVLXO5Jv
St1Nm75QOI7DKo2eUfLhm+4DDVej5zpezaqRdMSlhxD2OAdt+KxbuJEeo6ZH8hTCbWtrXL4TsqMA
f7MBo0INERS8672aML0BqEeDp79L81F9KbKaYwsWPSRt09CovdJwxNZgHfLkFPpRWh4XNGbZEYiH
aG3bOVbyAqU3fA4a1tNNl/dgZcrJ4T4ZKs95q6+w5Ljh4ScU4TacZPjc0KGiV1ml3BkcA7Hn0OFF
sbKAPu2mHu854mALHiBGw7uzVPOKBgy7bFxzOGREcAU14jo4ErwKo06jVX5MkfMTAbiY3a/X3xk7
d23D190mue9vaO8lat1WoXm+/psuilBH4Spn3ZiTg8F3fUj8btjoOAx3fau4gZPl8fCAgDUHpbIo
uhF0Wxt0drpHwTUGIVJ8X0gOyRCTelSp+NXOHS3yxl0FZW6NnxoQSTironqMhl2RkZiL6J4XVGij
zaMWnQ9qNcZdlJyUwiC0n0ichJMf45J9bJrKJSS1puO5qpK+i26tOZxeGfjpL8NktJC8MeGn93oy
LM0wfZhoB+Of3isqXr2aTcSURoDJugYItTJcgmqdWF1IT0i2Y4q0NqoIqSCXioScdjwycEKeGGT2
mRQBWr2DPtDQH+lc1+PFKwl7XYAm/OzGdHbc3MOMn4jPyiRlnF61t0JvLlDyJt2jTlp66h2tjl86
Jw8d7i/FkQQfyngzQD8/OEEdU+GaVk0pXc/nQPbxl1axbHLW8k9VmnjnxqxIdO9nZyI8S5fxintX
1Uil4oXvPndfQmYTEK6MPk433NykmEXdWOEwHhSnI9+Pnu1KdRXtCOcJcZqxTmX7Vgkfhw7DEefQ
apslW/gLGVFe6TlTjp0xAfpKvjKuqEe2Oe5lC8ZievAMUuX0DD5pUsg9XY6Cz4tzIVv58eJBdodh
fLxSuBDQinPjiOZ1QvFUYJbRb2NNtHVGHN1NCdT9koEkfcnkzIN15aVGJhncUGOBVzShCd4c1O6G
bbRmlAbRMkUJqfga8Q6aXuCe3GI2w5dZNeKXUhrGfJwTpw+OdilnG+phQ6vclkLmJ8+y7V+Rz7ne
ltDbUxE20S1Rg/E9MQ4JIILw4idJ+1x08m0qx2X1T8Uzrel+k/VcJ7rXrPNuI9JTWDfWL70RMXYo
QILeNaH2PzHwyP0NAMWja/f4M2zdYgtLhI8apZbBLuSU+XHsLTINZsd6LpOg2dSjQl07lDDSnYlj
2wr0qDswu4uqM3Mu59dC2Pz7hh1LPrkJCVC/hoFOAZy0TVTvZux+BRLhvHfWoOOMWzQiPZeuRGs2
c0D9PPlBfUidKviIKtnE6knmhk/uQ74mekq9ooSlFmkIyri1NdaeXAz8rC1B6dsUQyiLhVPEEkCu
mpAmZcHZGCe2hZI568YoPPUFm2KICmmhwOTezGbBSXB8VLFJmNRITiLeSQDwmzipiU62QtbS1rNY
07OQvzNYfBqvI4pCaX4adKwh62AJIghN4AIXSxtUO/T9FrDaaMchSvsmhZRo5az3cpCHKRlYBwcI
ifhPUG7dMhQz1llQ884ZmwmZp34w3gOX5VlyNR18f2IfJ5qenk80O28zp+4e2CfLpM+ARG59oB4w
dbUJmYmkzQBgRqOdW933dBgLFxCp7Az1pbJJzqarIrkjrLkF11uwP6rUZZ0ur9CDCZR9suhUfSoG
ZF2glK8fS1ypDCRSU0lExoL98CWrfVtApWEQOd53JB1dygA2n5iLCrastjzokv2Ey/NO4Fiz16YM
61eNmxVEvLvwb9Ky4bvqYeFPVJyf/UenbQrFbuExqEJ7kMRLK0QH5uD7hEA40OJyleExa93pEyQd
99VLBAvrJI3sVjdypFdX9NkCCBXxRfszs1I0x96tM9uBYl30xaeiNsxT0yfG10624T7pdTiu+MxU
OakBCdcaNbdFUEh28jbsxMWWcNeI4xiZ9UnfAdQQj+lyRYmyxjnjTmzrfRPgXGZ82lXEK/KLkoHG
z3TFsxSKn9EQLaeGzppNaTLQbrAtFAE6uGdhTA66CrZKX3/y7NToP+EhLzz8GzqJk+CR+VLosVU1
IQE4bI3tlO6mHOW6eMoCquV4P+rOXaF7gTht1u42NR3MRdi+0w05BKR0eJO1JyGRGsS3wIDljkzO
NsEwa/ge05b/Y45KuN2pyOaGmXPSPtYBK0s+JMbn0QjTk9ExGx9UwtYzBSWJkSQTTiOeh6LX1xGT
t6lMQP6mH944k4rWLfq1OGBJB1hD5owZQ0CZBXnp49gea1IWVnFXiEeSiiJGyiwSq4wOC1AaKpLO
K/OvEEbcXTDU0SEEwgyZtR2Itq/RiLEqfK1k+xW38MdwdPSR+5rCoG9NgkMb8yONsmEzmAR4EiVD
LIrbbqmNo0+j10+7jE10Q+cJJzXZXI7ZOXej1VcP/Nrsy9VYnNj5SmbIOYHoOIjWQelt47C463MY
zDaX6qM5NfETfIyeiaNln+uhzOo1xHMKyLHdF2jxYPbe26V4pPIjPs7Q5lcX4NTJ/tanLC0ambSD
fVAAwcHI5t/cFkjUmSinGPOda+tkU/Ym+YVUBAOyDXZgRYTdsKwgyTKuZr9iNeyQC/atZRw9e2oJ
vswLbtIyYbVJPckdOQ+LCjwaC/hTU64zmrGU3ZufH6OWU8ePuhrOUb4NYtGiCcl89sdTyTzgZGHH
a7AIXov+YQScIxc888/f5w+nH7BdCwwQvToiVg5uP74PwJ6uz+quORSVx2Lc+ySatEpCiHJGgH0e
rN3kdF0Of/6+fzj6877LQMkD1OQ4nBR/fF+O5IWd1WNzGLPCe+sMqABkc8Bs1iSWQfgpq+nR8xLW
4nZYqtyfv/sfdFm8+zLK8njA+RDMs344800qo3sivPrwDRM/4xi5BMuqm/kLb7WLG/5rNpJjyVJ5
WwC5m/8/guz/hipGxIff/Vp/HHCy2Sb/WL/Jukirtx/7dteX/t63cz9wzPJ8OhyLbNFbOhv/kjIG
zgebx8YxTbgk+F1t7r5/TTlt7wPjIjowoC9ti5fxqt/V3PYH/ilhFOBVmJODZfs7UkbkfdxE3z/C
SMopUkJk3FYAGM9/xyHz87EtZaGyAxSepTYICSLbzCqmKrcGGY7bbiC7HIiHn2CVxMpBwopF1AuK
EdrEa0tjT9gxpinzbe3WcXswinqxDjc0jMyVyaHhS5lSqBH04hA7C6gUTYNz7BzsTcTdoAPCEmkz
PBUsbTpDUswWzpCxxFN2S1YC2u7l7NmYMw8c3IDlpFiRviUSxBjf+hThAnaoK5haq75GNr23CK+S
ZCMZy0uu6Ks8S6d7q6XcZ9bHG2umC+wqKhgfY5yfz2Uqxm+RbFG+UM7sZvQBUllVXp9qaPAB7hdf
fVGBSRTEkuS8uuZbiOrKcndIVZjwvPYQDJZ1sIEhQYFlxRD7hC0uTKsptSzwWHVt9Ad7SOynWVPh
VTYVnLJNSktMGeIcW0tER+OTZvCNl09oACg2nxJeYeud1ZdMplyBbwx4VfDkR0vLarQl/+y6Fpac
NN+meClZ+pgP4ApSxFcaE+69aZMJkUUJfY7eJjqeGdzIt3YW0mCQ20DgMpPvHl7rxV6b9tlz8IJW
0KTPdk6FFYDywhSW4imO0uFo14DQyMngNd/4wdi+lkoYCL634b7mCn/7QQszpmCMU9h6Vr/8wteK
kZ9Uqc8euNGR2o2gX7T2SBg3psIF9kCHi69QYzOCkUUlgiFcFRy1oHnR8tEwv/H8XaFimgQCd+0b
JGHs0XO7GNYXTc8LszLIWEU5M95DA/41iRbyvzlUtIoL/djNyt1NJNA5a7A4UGaYjTz4g8OEEtOs
scbJbV0qCpTX61mwdktu9BwvcLSjBOAvzZHFf9kI+GzJchN1Jg6CBFUK4s1u4G6wJKHjq9DuiBK5
HhFp7vfOHcR1NugmVtx8hkXtGw0Wjx5ote6LD2Qh3ppLvkeiWx5CPxz5gWsa0CDTwpjCPc8a6usK
RxqN9pAp05ZWG/eb4LG8rRt2sQNAHvtoZANF9wRZDo3i3FOrljktI5upFSx7XXLHRILAr5EqKmb2
bPDbDct9QieLTtlS1Ac2bq/S7emRCcUf61oz5cRikQxA32c/DUO4vR6SMdVFz9db+FpDT7lCH7Q8
7Nlyk0Yex2pt91wSbWF/uMI+y5nOo0NKI65vWrTP385ZHRAxe90UwdIgWxqL33b86yPB0JeDV7rU
29caqDVZOFKRtt/gmK3bwBnzek9cHF1Hz8bSWlw1HJKZkbek3xaErgAJqUFXzqg08c+6ekAHWfJ1
TJB234JJ2msDC+k3N5hhE2KjcsgK2Lhpz12PfhNAP2tFn9YGXk9SMfma4e3cLgl23ZXUXUMr4WBg
wN1d975K7PvsCk00pJpYT4kS2ZjwPg+eK004nstRlNgfDt4JJhpyHrl/7FHGejerqU+24Dx4wmiN
8oE4xoyPpUUY3OOkxuYuzuAjpxOpU/bEs5yHS35ZlZNnQdgffwevl3PMcwq/jOS7i4kI+tK5Tc8V
5Fz22HCjw0NK8vY1Jwv8ECKj3EddQsjJMlvx8oKoiyChyfFJQQh1qKdJrbRnvvCY59xRRmjxQ5F5
Ji6RiZfvFNc+ByG7KklLKSPytzJzJi/TsTg2DZrDYpEuVNkUhvVWAB22EUU63OBwL/lZpSLnxoS1
Tg+2EtR4PQg+yDp62iCMpitckm2d74RiNHAlzWs0NN6q9FpxTpc8kZIRjUSW2ZBDMYRLrYgdvJ5O
TrbUxBbysC9xXtOmSVzu7mvA2XLvYZAX2Q20IHnohU9P/XrPO5bDi8yO74wdfLn/e98T5z4dYIQi
tuF7mss2MmjRdg9D60JgNFPF+sY5MNigMFjux3AC/te0Qfhs2DM/5LcljRAhCnrOfNxKbkTr7JgF
qjVWeGa03Daob+4dj6eLaG7Uh73m8trUndcnrhwC51lX3SjWY+vKZHddWUHic1rXSdA+ixRP8LOO
SZt4ca8pOYWzrFJi0OneSTr3LVwg+mT0lQ8i6S06CdWXKhlDnJ3Nshm05rI5R0tKIWHrMKFnl4Ws
oH6g64BohVzPJKkE5/gpmQ4sPzZJpCLGVkluJSABQZrQHN6UtO4SuC8RXSmJNLh4mLPit8xM0des
YQrEz2ylYE07Dm0nQG48NfnSD4dTigoeqkJK71Nbbra2W+l9qavyuY6FPGHz6k29mgI9UofY8kLp
e6zDZSOCuFNcSERqALP0wb2ofDPi2R3snWwRIIA86s5MhuD490UMhCxOnlK/pUMLU/WXlqxnw6pb
vEehu5ZEmZp+xjOw6ktRGvrQdROhA30DtydEzblELdXrMOxeqpZmF4LinYHc6Z7grlVWAhuyHLQj
E90fY0mcKb2IuNC6ZFXNeMIdDzUFHWdr0zBR3FieNYNYYnQTr7zWydZNbZUHIVrCHFOnASPk5PYu
r6wBlyeRwWaPJdeFMwdHxNfTANyJBu5u8kAQHEJuS7mOsZeOXP4kvOlsZ/4YjJ1/UlnINpeOLV4x
A2IFSYlPjhjqO8P0qo/pnAcn34q4ewUnXi8J6m1MyDFn+2ZkvJL7/Q0UB/OOKZRpr5Thjm+FU2dP
k18+gaxsi9uCNJKHNgcaZXRKB4RKypCjvD18Jb47/DUJUJ4oHYLc4CbbtjB0sMJPEj5OFh7MoR02
09iBWwmaEdKakzGcA6p6F8gkm+64Xt6XrAuq3dzriH08NUni0k/hwsbLU1/u/Uj/wmSEOKfM/zVu
x+kxcSf6xxA0dnbuI8DrXPmgTC4rIDVv647l+M+sJ6gKoN1KaKXugjSZH8p5InTV78sd0TPOPgoH
VP1h6mzjVl3asMcDIT0qo60q2/oO5ChLFKSKNSi+ZhtTN5z6UooTQ03j4Ia1OuZh79zWNog/LlqF
gKhFyuGh3xrbNtgakF1oL3oGrpsyv3faDEdCcDLmXHxkE5go+fBoQ531jgVYlYcYcIRd2dXBMpTc
B8sOYU8wxkZyoQ9uzg8Gssx4VVh7Nihow7s5cx/6FJAYaTDmY44S7raeiu7JGi3jdiqbAgxL4PM6
Te36azcUiNwjvHIn2vEtpISu/pxRvi+NzpKonKykA25JWhjggoyzCTptzc7rb/LA2fU+ABDCl8qj
Jv3hzchL+khLJ08A20FLI9XOgJMHmtEngH6au35vEoC8dpkRrln8482M+QQKX9Idh8r90sBO3Vqd
WNri5pI4CwBvyqT9Fkls0xscmONnUpFIBTEklWBqVpspN/Nthw/nErWsKKz8stzigGCEklo+fsLR
3sO+mjbKQpDtanBHt0lvYDRo7D4LexYSjtrtpnPNR4BDhdjGbiEnanFgDNljGokR8EZWOsXBn9UQ
f2Hxj3dJxhwFTnsDrGUAwRInEaaeOrajfeclBguTTL1DkPf62UC0TOa5B3seoZhINrLpOIEk7db3
ZH2XKp6L1O70M8CY4jh7THrA+hCxOnczaqplvpD56c7DWfqk4zHgFgdE7BinFHvOAI6gJ7Lnn/A4
41tGdmcEX+plYbXdlDK48/KKHinVwKeyt1ADauXJFSSiqDvlLQ3GF+U1vXksc1R6J6MVswXjzc7C
nR3afauZjRpUTuBJbAycHdl66wZ30goXRx28RsSHk22VZbqZWL4nkwmQK5hq7P0sq2d3bRWgEVex
MkyNFNY1e/s1SEp23QWI6IFPCkhXR9Xmljct7dJ2h4eB7qzplgw/B2nR5nd7atDkGoFRaUUh4g0O
e1NK+3g6mYs0YrK0uNDPJa+s1ZTl2Cz+1Rz5P1qh33eHODq7HOwtDtCWzzH6nTYDZxA9ty7NDlEd
wgsua9SxL7Mz9+qzM6ElgI0UUo3UDAARRMJ0+6sYiYXp+v7wHuB15IP4gc2neNef0okn6tnq4oM7
og9gFEiw8KYPRWSdhaGSmGIzavapnSYxAMxorlCQqegcV524BGYvzjiHqCq/a4T8iWTlTy4LKhmU
QJTtGODei0cqu48QBjrxoTIo/dqR3Z9JJTxGKjICkFC3Uvn0JejsjTHEzV8pO5au2LuGBm9PTmfg
UYJjmP+xa1YRtN1XA15odyK5hDFyO2E2UG1QZvwgyeQChbN1YF9yPzKOYim/v+VjDgwfrI+ONyGP
W5kwjZNDt5ygmzausq/Xcb6ulni4n1+uP/kRkXsI2qj0+pg0v79eQxinho1XBwLdgKSaaW2vFpEJ
viiJtgBKeVNC/RxV+4aTfXpsO3oV13zHtB7lY4n5+y8+0TuHP/cToiPbsRdNF2Td6yf+jk1vuK0x
99QN6KWRi6+uKoSOltSzosUDYuo6bNIWiSAIVuxjM3C+qPR/sHdmS3Yi6dJ9IsqYh1s27DHnUakb
LKWUmKcggICn/xdZ1X9XqU9Xn3PfV1VmUir3AEGEf+7LsUkcDMEjeTcM3XYG45P9+xdm/U8vjIYk
Clt89OZ/UUQ9BvfkI/vs2LkpO1SCHm010vZIDF6xK7KG5rGDDGOflnab5yiqtsoz7drTw2hPwRB+
Whx0HSNrSDST87MhOcZ+Vkil9sr2Pd+8FlVClWIoNq0HpwF3tgZKhK0pEy9AMQiDH78fSokqqYdx
3VSAZunobEg2KwSedXW37ePe863OolkH3J70rXScgP7+4zB/lcX5njyiCS4QcSTEf+nEygytzxdm
8Qcro8oYYtKKBcEft6NOo3j1n14N3EiT9tiY25xa1Rkva8nH9VEFLp9Wam0dJ85Kj3tBjJ/l1d56
whR4oBTQLEdKy9xU5hkmkKL3jjH9sU1RwHa5B+0xTif6a37vOITXjnjjlgvjCp8Dwcfnm/1v1OY/
eUd5urCE/Xvv6G2Wt3/Rn3//gT/0Z1//zeEBsRXH4CBDLUbV/qf+7BuErsnFW/8gi/wzZYMibLKI
GpA+yKBzI/5Df/Z/Qy3WueQsxnzeZr/8hR7ytzSRX+VnevEMsjzOZk/F3/arDy+ZtXTKGsc5MTrq
ksgs1vIh2xrz6DOadtbiYOq2inXfUWuxN6jFOPvYqN+CQVfPToMwbLvF8KpjEnlNGT7Ff/ok/xeP
Ml6dqfP2eYEmZR2/LoQBBn7KCwL7VEx2++5ktrrr9azZmMCsiz0UiUPQ6cB+upYUzt//bp7fvzzJ
oK8TP7KZGegQAD7nA3/2/IGqQBof8/6UpMmXuqcOnRswD67LAJ935HaOd0UKvYHuvbjeRdkBcG/0
4a9qbdYPbwT2F3XrYp3TCvpKSREuFFUxljGDa/few8ex7CD1OqdkruWV0Vnd3tY7IJUAFvG31oQQ
ceHUt5m54Jfy8FjsdJ/dITkerFjjuNYkQ5mj96GF7491zzXfSFuS9ERyC1n2MHJiE4kZoYwPuPcb
TlJ2g6gmLZ+eZOwa2Y7JHod7ClRfNTKaeAS9p1GtouLU2G/iqts1cPzYQGgwThm5t9Z0XFiOd6W2
WmHByWEJV2+eIJoncJG7rIEFaarlS1Nsfh6NnP8VJdQJHsRFvvoQw0hZ6yQHQiKmdN7zBbAft8pl
D9DSPaiAMIxmm/MQ6hAJHrZj3j22ntyICkgkAOZ0l/2cpwvQziqI59ES+X7C/LuEObcShlw/JabR
9y4WSJSWJ2NsM4hD3jyeaJms4EWZjXxQREOynWHNA4UqrqHvka0SP2wSiQwfOi76D+VA6wbyEwgd
aZqbMwRDjiVIcWAdO8hoRwceuwazkq377DhfvGLx44yS07uyEWrPBMdkTw9kJ7Q3En2Y6srYE0sX
eyHJgSyIdgdkUCxbmTntKZnYB3KaIu7UAFSmVz+sWAdxxbVjcV4Lv4h8R3rvuOu6I4ztNQ6qTtKo
J9p1L9mC4n0pTHbvCFhK7iYqUw6kq4xLovnqHPgGRq5iO0XMGTxmqiiyH/asT7cGuFEnzBuv/sGT
bgMHrnSskPwHiU7ku4dZO62OFboeoOCIe+8RExjuNvhpI8YPwPPu/Ah/N1dd2HtNO+0SRiLprlAJ
WAK/k+VHU/Bg9kMpioOpt/MHcmi90Y+zmtgEzSWoGUMfiPydLH0FVbfhGXg7DCI5r+O6FbNZxfRl
859SZe6Y7fuKMWAEVjwqwV3Ra/J7k4xFBfxQ9gSpCQ7lsQSDp8Ut3IBr/JTNsht0TxrxOLElflys
dlmOpIlwmGhJs2mCjajTSIxZ2n1lACCYgcEGarYe7gYdZy71I0G4jEeBbK5ERo1w1CNivQ8t269t
z8WlrvT2hO5ePhgei2aq0OegIOXNbbGO3o05UqVEL3fAbxPbe1sysoQiWY0ZDWZItr2RPbzK3C3s
UFAir8UqBXHSt+TsKDXpkBIc3DuTyTYqcCakhmzmRo4HhCgNF6Aav+nQ8nRws8LRb4IEvR/XZ9e+
I+oGToSuSBJmW8oD3jnKDppLLIvPeJ0mpxuVm+tLNdDB3e7K2aLi4KASeHdrxJPAWN6dceSwf/bh
WfKfEn+nzXW0GKlNBt1Y5+lLk6oqHwg4Os37uMiaS0dQtdWK1b3pB4NXzBm11fbzyJlta2CF6O6b
1S0zIPybEP2ghA5GoZBJUs4BlBWLME/86lY4FUx95outE8H/n2jo8qTJJAmC6xWFz4hKM6+Aa7fu
mI4SWZiA6AsIfavlJGPUDML7ih4AsZIPpwx2VQqvFVyGu+gh2o4vwqz35rfW0Fpqm5egjsjQtWHi
6/YpRaCJy3lovw2GfCZ+6Z4m1C5ni7HN96NbWVWkQUmeDj7SL1F/P68RA9uAPJpTJHuDQNp1Zk0J
+o62NFcZ7NUnE5mVZu1sdL47+HvZtMKA27dzGRdmq1HIjZnoysZFfEmyKQP8tgp4rT1ChOr9zgFe
IYyLpVXyFCAReSEXEIknnjNUT1nBEtkBmNgQy5Nn4s4e4AgwmAWGuEivWQ7NbC2sfpNbiIh1HBJU
6th7lbDgD7U1vP534/i/CR1ZjrX5Vf79xpHqiZTqyr+YF/74oX+aF4gV8e+Y8Hl8/AHoD//YPFq/
uZ5nM470HAJGnLb/aV6gOIYYkqHrGHWotdXxtfxj84ivgVMlZgHCLL/7Gv4Pm0f2iL/ukPj1Filw
lzIZ8iO/7h79Cf20XVLj6PtLg04/tf5ObNr92iz9VT5bsULWXxofgR/wWvasj126w2DUwmBOxxur
JdAXbNMBqpaMJBbkwe+ybXpALW711DZb0xqhnFOfyKcEWdknF9K/61ZXihz6qkif0XebF3MLPnT1
zHhxMjXx4cCUvrSbGQtrgPPe6P12+DIH593qXP7S58BTuq32A5qieoYaUqsfW4e0V5DTsOebrPVi
QbsCu4niQp9TR7Z4Spqn2bJTWYSpBt94lKZhkItstSfNdpDyV5h4Md5v9k3AELiX8t6OPNNSN4ZQ
PJ/KzP9alZVvXgY5+Xws3JNHg360q6Izxt1YunQX6KbVxglpamdv9KBDkqH8Ztdrc0m38nrHX+3I
wTLwRRRDEztGYkea5zqM0K35hVt8ecCAYKQQ4zCpwY/q7pJg1T3W8sw+6WrS3uRQoVGBRX3OdPrc
y5yDJ1iZqfdeuiGf5M5zMR3Gq1gR7FSRoP8lwWazgI8hzVvwxihrmsOUV/SUa42dvTkZKp5Qn3WK
nHSMJ4Ab26f82VvPiNZ4CkrkKuwmaIK/1z5WUFiZ11oVs0exDaoHy+Jx7MmBsbhFerKOfWdCY/Cz
gNOuJnrmjp/9hwYxUZK5WxXi7wV0QNbRE/qx4e8t2VYF5lhLybRgq8Imq47V15E1jg7bR3FwRtyh
crI5P2BvRaT49J/4bcnjkihZ8GKM2C1RHzZBNdiGzqbhbK4KHIAH8K7UPSoZMITdxnidYtpysKWP
eVKoYb0EzbJN7rYWW/BRW6cY9SebgYQPBaCBXUC9xW1L2enCC5hpB6McLy34dD/jLdVnxV+aQCSN
nAWUQOQjBdiR75G1vkmmbRw8yERPT7LbaoDTtpAfiLrY8tlqsNME4o0ZogVCcqiKAh0CEvlEWQdJ
Vf4AbiDbD+Vub95fJeM+xBPuDDFvx6nPGr7PgbVSGV/Luln0XdCjO1tjuAY+wdTvwL27mGv5jbS9
INhMGh4A1Huuzd8teMWMeWYWJVKxZTuUxdmzSWWaEIb9ri/bLPYzpuLq2OZ6orV0BDlKHNO8cOz7
z3F6afVZe0I0FUOcwAawdr25mW5Sq+JtLbVPZ2dSua+00Szay+er9Kt1TI8UsuUNNFWHF+t0LkqZ
ZlrGTSAo9gircmB+PbjbtghCfb8+ypkSiT3dgXylKIPbZ7L1Ad3IJWgvqDPtZYG5MNwEyyYr/e79
APWaH8p2s2oE1EEffi8JpEZEHO1aN5b9poD/XNfND1K42nZNUTfQhqmj+fWhHWlPvHgGfVbEQEqF
zlPKOZKBuR6H1Z0f9M2UNJHnf7O40nBst6NBhVDWsGEObMpBpD/uWlAHS+iYZFfCwUQvG+smxWhC
w9MNJ9nk8umS71m1swjqhvFQZIvEDyFIAGH7GpI9JwX1OHEVA7D06/0KAWSnT+k2oJLD90KjqSvE
HR28YKdVj76r0YZoCi5sU8yCN8MHcOXqtsa7q0vwFmtLUfpOsm+GzB/Qmb7jI5vg2cEEpGUi8L73
oDOt2Ghaf+Mqz8h7JjToU5oW9okeXT7fZeteF57nX7ljzzHCM+v5djYcO7an1OQAKi2KoHq4t2Et
7O5kqdw6tJWfZTvBE+O+MbrmoZoIYHO0YOcUemVmPgft6u21WSw/bK+2zgkO/mMx+cZH5Xjri5+O
ytuT66EpSbj5D6tX89PoOAvh9aaOl6JKdm2uPSPDihf8bgNgppJGsyrAvULDJsNMHFCEDgkKVYFq
9rpfgzMmwP6DETgtRtZcDRfoeuxQp8JbbFx1ifW2lMVwkZyFGbYx2DiNqyivqYJyKI2Yt6CTkqZL
+/JKA2Ha0+op6h/gWjI7xoI6VaFaevxHUvk31aw9MBk3VYxYa4ld6U+DcVUxU+jvV9vKTpMeHCR+
9v3KABjedNldz2MDbkEbk7tmEqwmixeCTO/GB6NpvljpDLhMBsOaHqYxt646UhTmc9JZ7QsndPFY
zfZd5kw9851NlkwHICVAZx4phcpCwnTSv+3hNh7pYO9ihrz6l9ScFVEW/2nFt/46wmI9tMppxYE+
zXaDUNHUdJwo9YxLaz6qDtLe2Jl3w0D60K27DIO7num4fNZqtyS91O+HrG1jRV44rgphhETqBQU8
nAa6GGWh0aMsyeavSafqChLT6BR7vR7H+rj0FWwmzbApkbH6ducrXT5hMaQQkRpkmjZzYO1jYY/Y
XLTuNLmoWjvsW19x53eXuRrHG2nqX2fh99fdsC6ScbXqXMgCCbhUCF4R7jXzcQk0+7KowrinwUz+
5Dwuvi4UXfbvSurVdI8/PGEcJCDap1XZ4E0RX8xlTe6zzEii0i0xG/mGupqkQbhlYEvDRPI8cjS7
hU8Hw8u00oXRbf2jkrO66kk2xYmzmPcMiac3P3eTKK0BuAVd4BAcmmnvKhuowKGOCH7jaUl5jdfI
bKJs1LV7zvxO5Nkjlvy68uAKuurcDXXzNR+lvXPa7jmB53oudfEieSTGjFidaCj0N8NMTwXZuStt
cewv85xaNfccUG0jGYw4oXXpQm9KemuRg7sePXH0x5n2Mc+UQM0MJC6v7RQRmUzavEMfcF9mc5ZK
O3OUPPw0zI9cKpB9rmoyXEezMl6TwvbCtHIJMpitvWtmWUZkNaqIwyXXgdmRPFI08KRWkKxRavdu
2Lg8wveBbek4MczOuvdT28V5JORjK2icCEVDsgHBTO7KVTEWl9M1oAAn7Mb02dV749IILWe2q5gm
N1SrBBBrH3NqcmDD03+7Nxsjj5RJ71rc6dtJXLpOHy5Dlt1R2oVjxNKXJx0U0WUZrE1m4wcnN22v
WYEmPCADsE1ZB/eW1KdD14w0vkrT7i5WvfZYJ+pq2i3NMMdjS6APXkQLuYSz+32eu3okEveEyoOV
oEyXZ4ybCUmzenzJxuwL0kyywyblJ2EKr+956oKeVK+iq6EfrLPb1eqo9BQnXZD5e2x7fA9oNDN2
rloP1p3vjS6ukDJDG3ZrWe46BVnSzunLuRAXJrNFL+mhm22fNiDe+NQp8ZgUrbcniJEUMY/D+UiX
GH0FVVDCsIO+xrGVKc2WS2LSbkfrkqIP2IttYVRexosSNl10pqmsPT+jrr1aZf7OY735KPrR/emT
movz0nXWI6Vm1ffO8/DMQZ2Oq21r1dUDVLKJesXVpjZhRz7WjXOt7+KimeDijP54PXdw6xOMFxtN
ZquE84DTF/V0g17aWc8838pr2VAgPu1qECB3hQQ9NZRO+zCS7XMfKoptMJlogQghk7AtaGb7Wwkp
PN0HbtNwA+nsBUuqo3Evq0ewUeoKPtoQL2NJ62JBufr9wDbgGm2ZkrJmsVLQSlPT4kWCN0dj2hvc
o/ZhTeaCPEma7WkYX66cwXFu+ibrmU/2vRaNrTOe6WmRF8V89eA3ubozHDk8ZXN9Btd/6fxVRX1g
9sDm2uE7gqJ+mGQvzsbkJAeR+i9s1Oa9N4ho8oR9X0xLBedvKstyj/acVmd67ymMzYN1RXG2MZju
2qqhjac23fVhtGitUmVN2J0lj7ItgmSkjpuRD4SE3FU5Cq3+vkxquNOCZb2lmkDkcdrlzvjNl91T
Ny5N6SF0jXayhaNY3E4JdS59ZnkPrVG9drjtsgtVVV5yZTX6u5yD7lrByg5zmtXGE8N8FJW1WCB5
0o/sPQSfZq8c21cg5lCUTXLXbo6wDTRDUGVHxO6VhGcLr0j4qXeXQju/4+l3osJu85b96ST/Pwwu
/mUIrqNcWwHmcsLmNgmSvw7B02AeFzNlX+sJYRMK5iTq5Ng61wUXeyCM/+REcH6d4wT6FkpwTNvy
dAIPDkrBn2cVVTYtzJSH9tjUIriSGVv3gYX5vdQkc36zHb9nlW7bN+nkjxRICJwjiKKGltXXhVPg
bPwcwrp9Y4vbWmz0AeqEurMwDQKXGXZP2urYANprk7Bto9n8Q8eAFnCgt+X6aBLsFXGv8J3k4L/f
qI1z3ltnmuXjwFBs2K/SwNq1a7acz1fQl1SLJb7iwJYmDh5iK92sh6wYTzVppre5WoaPrc3iJ8n8
5tEKUnb08jNNjuege9PxzioQXUTgtrVT54BlaMn9qg3jAKeKg8PhM4y08BcFSmKHMVPgzlTxYPj4
ybez8Kdn9e+/9M3t8RfnAyM+iq9JDW0gZ5wpf/0OKEUyE3fQW5wP23kZBxzqxWjgvj/9/S/a/qF/
+UX4yNkG2PhOfr26fMEJridreKwy/LqIE3Udy8/u6c906pBvSRIC5xxCVp6y/8Hh8a+/nVCMD7cD
Y3BACGa79v/kToA0gUV3US3uhM58cmcAMzlzcPaPW0ZWafxWV3ocArS55tj292/dYF76y3tHdWWs
FpjG5tj49b3PhUPmMhHtEUWZfx1rOI5+D7bFU1MMHJttYzOCT/ZCee3vAS0qgjj4NalXHVNbGU+f
L+i/c/H/MBe3sPawCP17efPph3of/jwY/+Mn/tA2A+s3Rw8IURkBQqZHvO//a5uG7v7mErvy9A1D
uAmf/9Q2XahJLn+EQmdzHQRYMv7QNk3nN0xPCKUEunzQRJDp/w/apsE4/a9XGjEkhzss8EykVJYl
Exn1z9e5LjVtgvYMYYJJ3uuksfccquW7z2aPUh6tjzPNGEJVt+WDN/vXmG4YU01F/9i12iPGueE8
LiAEN1L9td2O2mlJLDc5TG2R3Y1Nr70TowRW7LZ6D8sh8bKQKXg63DW4N617285LswZSWxneaTWE
b94Ap9Pb5wEnLcAErVxb69CVsuuu/U5glN7ppGyoji2DSdYIhwlkR+yKqe7xeJ6F6J8rH6s3Rh2e
1QYVfso1w95MAhl7mW4P+6yyzQ5EcZpTkkMuhAxGqLBnknCoqYk8e+1ivtjs2QD2rK3ROjtpI8ke
wHcuzgkmLX1I1DrnXvGULJoGk8fwyqmPgG+076yF/kfqFihCJH0wU8WCOqoJuyFOSx2oGqtJJHkJ
AwVmrXlhDVoHLK0BLO4CmWg3S+Zq+4kJKu1rLcNWytGKY52yvqkmh9td0X0NE1n58Qwb/m2ZiHXj
ZMyO+ZA/powW+bLG4pqTD22Q5vxStCgIhZyL0KiD9FjOKUJmz5brNVc5iZNlyk+er65bW1yyeRxf
h7Ru6Acf7iz2pXiOpoCFJnW/S5Ww4xjnNzy+A0mFYFcq65Sq8kVNsgmXwCjOPtU9ad6K2ErK8XH1
xyEk8UMTEh8pKZd2MyjNB2Ag3t43m4MZBA/Tmr9QxPyTBKS8rAM9bUGZ3qyMqnb1KN/aejjXU9sc
S8k4EvNVpOgpDoelo7qo00Es9utdlkJxLM3ypUPfitiUtTHi1w83b1yQjGtyNwctEKLt4BKMnMkG
ixMoW9WDPdmEDGAVm/AFIxry1C4lIbizZ+ZRyViJa1/OZuzxJDx5bZ5DWV9p/tLoglzx+n3LR3M6
1JOTf/PBopyVWJa46x3tIe2QQZoi/cGcuL11NPnoyFw9NvVSHfDh54gRXX5syi1MmOtuyKwWxyCw
y73ksXtiXcj2Ag/qPq0dzqeZFhwmd/7ROrid2fa0UcLaEZbpiBSYqPxba7HnAx5Vx3gJUe10up8w
isLIbuDI47zixKRPFWRtKvF8Uz0ZDtWkoipftCo5rcAxw3ro4OpL7dVZEj20SlWcs95hmtvZ+c+N
UPsVwPOuMCT+/NlG+J96dyMK6OVVPZXjxQVWAYwH2SAiBqD9bKULc3YigOqErefrTJ4Lim+JBCkN
yLM+PiwkRbzHyi67O2LflI9RpJPfdL7p7q029+PEw0gBonosngbOZjuJ5Talw7g1z81I0ctusSS/
jQsLK2Uyy+9j1aMmJtN0R1WLsZsmLos02CpT4eAvHxSc6xj5PXs5M5zF1C7nZUY54tKCab+4utpB
fHM2a8ksfxrk4vIwBfu4p2p6zH4uxUBqD/ZEjwSt9918Qw3S8DY4XC1mmDEg2BtTrV+yJqgPc+53
u6zXONubLe+snCF8FRQtouq8FwqiaKunAEstqoKgZW8J696KmWJUBzgCpKX89YvCcvXi5Z26qQoN
BHv5Sm2cDhCobKENyLPUevum0M0yYlhQAN7MP5LBF1FudvlLLQoUWew7+bUpFoSDGptBBB7BuIMR
8dxXZukDj7GCq86u2rMRyD2x3ekKPax7sK1AewRG4L2bADuitKQSYq0DwMJjmnEbz8o044Rs1H6p
Fv3aTajrkIkcolRKeUO3cxvz72DF0fTlILa7ltmxS9qBGViCEh6zsctAhkx3FSXVRMsGBFQ9g68t
qTjr/RXPOgfoe0a4b4xAnKM91cF3YQ73HqV8cziUOHQsX35xl6LGagPE07Smk10ZflSONKOH0ujk
z6SF0lJoUrssWFSIh4wGCAnQfXCjmNvDjtgntsF64C83OcjO21XTp+slD8ALLyO4moY0ihpAL0ye
+cmvSg9ZYKtQn00AWUUxhp0hDiDEaEq15DV8CG+3WssSBiD+djqhhpMsbSd0ZwjBoNMeRn/FNM8c
Jm7BP4S8t+DYK3XQlp5YlD6hxBpKx5EUcK7sEKJ0bCC70dAA3Q8lIYu6hbcQ+ObwFOQF9Rp+uVBV
VAUR2K9ToCFYCK37qXrvGTpSG68c0fb60JFlXVA7NKqW44zezj1KoTprZf+xUTormYwXA4kpXGec
wJXpNbcmO5MrPE4tfchLsZ9zqZ9WkHpH+oSDsO84o0600jE7JHHBoGehELFA8EYqv4U18XVdIVg1
oFBgasmvZluWF6dDHTEYoUK2wqUAgNm44hqAG5bTZDyX5U+MBsFedetX9rS4U9aAtaygHO6a5qbE
RF3eGhCD9FvdkdLQYRHdJaWZ7LLJGG6QaCYe7mYXunqKy8H5iRT0w5Z5ta8cNgyTsl9rzC+UGgxw
jChDxoNmEyFHzv0pyA4iWxRlBNIahW+YszsS5MV9YLbdSffN9WoqJR+DV34d60SPWExbVu18eqWq
hgeGtB7RqujXTklsFMpnXXfz6hs2LBOr2NKeRrt298XkLbsm0Jo91IX6yjTMOZbLau8ma/k2ZPSR
TqT8w5lhYDgTuop1WLcvcLPWu5ICMj7QlZNKmHmjgglbdrz8SZbFG7d9Ka83JM9T79HEB65qecRg
d3IJue+0Kkjvx6Ga7xyZFG9e4T46rjujdKQ3ttkOR9BnjFZUVnQxHgs+6CzP7OfAKeedcvCnLNKP
7TVxza3qBFUWZYeqxR5nXk560IC1Zn44jWrop+Z7Ds3OaG8nY5VHfVXe0VOO/3UuB/0N/873okvk
7apbWhFvnafHopMWOBV3guhTqIaVtUO7c7KFqcEUAB5zHK4IvX7o/cB5IOcx6DtWTY0thtmZO8ce
qp+DsHx7u1HR+VZIG1vkR7iHrjMcbpkGs9RRDMHK8Bn/ZbSk1mOXL9sYVr+iean4MoCL/Nak/bma
idJEBTP1XZ9aH0CcnMcG3OZ3g16OGvC4i8aHhqBOHUb0PszLrKC8zVnUd73yq6hrx+FxnQVmShbP
awLl1YH4193qNpcEO48HM8Zs1dHQ1oLL2Z28jyT1oMeZgwdYxslfnU7Y18aYO5Go5yp2cqsjo9fR
iSlQIuNWWu2DsGyR7xY+ihuy7IQh9aQFzSMRc6NV+LKOUKSW28bPqwNBxmKfeLPc47I1447XdZDC
1Q7oIUl96L0qf2U1K195xI1fKqjMj2Uhk6NO7OekOzM73qR3z30zMQfKtSEpSRPN1Utq5sVymbQF
A92aEZYkYt4ieWPu6fIqODMGpgm8VkYZKnqrodWk4Jj1QdzLVclXCqHHD8Sq6egPbXBpmeLe2mkm
nlvLwVTgDYx8I6t3I/paOeiyu1pfULNha3F8GOan1GCFRfe1qRhag87CaV91yxTnBffDJfBttAKf
8enznPir+yUl7bxGk694svqjHXAjCiVxbtGxFdul7d64MKveJm8mGkcc77HC2mFEQ9Zo11Wj8reE
2tg9OTR6bepVVadxZACDXTGlQhyygY8NYq5f9UQl9xN/9ahqlldRB4+YXrdjeT9+a2rkTy3zir0r
6fUVDVvSqpl6WET1VD8ZGdRvGIHmgWFleVW0qHpUyGQRtItq12lrxbhXdM5+BnF3DwhNiMhZkxqm
UV6CrDBgiDcryG66cI9wFdM75gDJ8uB7hWhvVQo7IAowL/cUqfrYsdksMHbaYsNEspgZDB9sN3Of
WUHp9bP9SAjPLUk9jwtl92I4FkFGD8lcYJS8VMpmMj4URlytHV2i1pCxjipqwNk6udZRZrTnkH2v
x2idUzLoouRe/IbWkkS6ViTpVT5NOfODRRdFjDt0jlxzBENUEjJl9aG6ibmQ1h1HnLUPqiciW2OB
PKwOw95JLhrir+hOgmsyGqWVXyHE5bvEHL2ftWjt73oDgh7ZFUfqQdXd01AGSf5mMCXb1RgfyVEy
P/UHBtiRO/j+D7LG6dEda7bghsy0XZ8L72UtZj3OXVbnOIAVsWcIvb7rbKwvM3jTsOJ83Hqdfmj5
Z88r1I/7DqnmS6bs+mFmpHteO8p3zdruIiczMNwaWW3FaTnQl6rjstb7EvNhid9ZUMp4Y9t9HUEN
sZ8HdpGxVIqig8YokJONbXPeLwwDhYzHyjtpXTNFLQf3B5nmwV6Uuvnu2Mo+knPuQnp3+rCC5UBW
pc0OecpMVLTAUay8dvl6h2z+hsA/HWB331oqCz70RtxOvJJw6/HCTmkux54oK1upMb1CY4YJbwT2
HHPd9HvGIE7c06NCGwBVnMQT8yyekxqEQMVjPFGU2Q7s6ens8eqjlidWpJFKY47l0p+Mr542e11b
sGZa1r5N7DpsAk+7lda6PHRzdtw6aK8V6SoMe40l2IFrVUzTS/aj61z7OknynIW2T8nDYV8uBxb+
Edl+QSXcrQJHDa6MiYfOvNxnUg9uJpViOGxIRJZuTtEVc9YQCbk957px5/vYGIcB+jHj2PR98Joi
atpF0kJp9P5NqfVUxteEPI0qoTe+Cqy3NKDPDU81sm6dZ/Wb1g1vveVRuj75BxtgrQ5HY/rQFQ9W
n77L0wL5hs9vHMnwO3IMKTdnxltaqA9eisN+rd5xvmXxxLcVggf7AoXjkqWwidceW3H1ZSioCq/M
UW/jkWo0sryWFdPEaoYVFNxzkeP4KgfKsOuUsh32zIDct9qfKt7ociNyYH/VukXD1TJ4B0MvPZgh
dn5VpWl5h/6g69Foq9GPJ1IGN4Nkvw3Uwoz6Tf5R/tCdmMZUdG9gdkgLX/8xNxzRCtofjhQ1g/LX
esay0kMR6MR3mSl59mrMrzpGe6qvxyjLlg5cpQvBztTKM7bv6X4tsxSkQP+N8xpbsaXJMXSuRX1q
RqqKaSIZltdJ4hhG77m2CMS9sJV6Ys7V7zwy85fMhV/Zq5WNY5sRLlh7zMWjJqJmGr8GRn89Gwt9
SIX50mgseUQrIJa6sDIg3PqvmYITR9wfBqjuTztzTJwnGrhhc66leWmW7CrXGgR+bzgy5HwUrvHT
YiXdzwu7oybtMIi35puVUcNkTY39MRDbjfRUWDiQ6xdFFuZn19Xauk8b35UhqgebbwUPMFzd+oEW
Dvq32rSAgdv5yddJH0tyrdNEgVSwzA/wA1b8FwwTkZ3kPO+dwV5yNv+1wRlHOYdytIKHhgVLhp3l
tLSlTonHVEpkUuNOqGNXL8XZZFA3rzlRgSVNtk7tzrsuC6e7nVybjbVRgqwxIRFTNE5ui7C4XxlD
POpZdwNRyj/xP/xR2fg/zdR8sIuWxYPU+pkwSnleHB6uZAu+J2U3UqOnleQv3dEOPY+AllOp85p7
UAN040XwSMLsK2EFmZsW2DXpjppAj3mGu+FT8VQkueEcTIedcDqYLAmuEjBli3Y8elP/NfXXs+KC
35GE1U9lql0nwcBepwK7V/w/9s5kO25jy9qvUuufhxYQ6Af/JJE9mclkI5LSBIuiRPR9EwCevj7Q
dl2Zdll159cjL4kUmWgiTpyz97dr51jpQ7fFaedsnNTOjpVF+49UCCYxlPo+lan0A7O+bsLhFsbR
dy2PeeKDydqgZrmtzapY05hxDoWZShhDXbTj7EIDcc7FjZLmUwyk4KoLBNG26Gf8MDMI+9KqEKd3
rgNt43DWWH0Loz3U6FwgndFS7OQq8G57shP2SaBiPyqnr2mo0znrJmProOxcJZ3xLUD+d69caxnx
T6RkJ32pflitM9yz9smVbVvI/4mQODY1zShNTxAeCOA+jSvos5A5s2m0NN0zlT2ZXdb6wWyY/VrG
yuuR3Om5s0q0KD0uIYc6kEPoBVP1Qs5u+cXCe7UkNc7zayojWAaECYmX0s6bG0fLxD5hw2tW6GJH
rORJc+2Qy+U7HszGNS6FYwNjdmPk0/SNOotXK6zylzjR3ZsSVeRp7qL+VcT2W9joE3iPSLTHmjb0
7TyazOtjR6EIiTX12R2t/iIRRcznZnRLsFtOXu7oguZYzzujIiXNI1imxPeC6y8e15WMMSvE81Rt
40pGnBcCcdZxAwy+xWawJxT4YQqtz1QI1n1NniQeoKnb8x5MG7tpyfXw3EflktyHjUfehzByfOA5
N67eBi/5CIkHyoHrY6CV8TpbGI1XSlLUXJOB1K7qboiuqCG6cRvaTek3SWz3QEVYfxgHkUNC8J4a
lyZRBuOAXhg1TQ7Hcgl/p7xTqNpQnpbNY1OZ9VVduy58KZIdUehr9PgmAEf+xLoA45sovrOKLe1h
4B+w127dz099CtaC1zigaUSDGgxKMbUno6/6a4enB4xMpbqdqov4eq6qCmYODR70Dn1IxTQhTNFl
B/yyQSDn56wyX/DeO18hdWLrTvuk21cuGKNajDVFq4uQEg0w0gzGc+O91VfEiBZaWuEyn2DYVlKg
nQPZ/t2KwgTPURiEIzDQabqb0oHEa4MXbTMDx4CP03LwHiVbNCVoXq0Ho3pTlNcbRgS3RLFgYmht
gKmpjSqm6gkXZfB9O4aDfEoSKnDsGSzYc2Ppl7Yu4Stk9eDetVbDfspaVl6yWQxPAt3G0Yhq+jIL
2O3UTKJ7ghmunbVckfxSEcPF4bU1bltyau88EXB8afTAuxIikt8wFafHrnWHeykNmqGj7HlLy4Jl
dZVbboFMF8HLOiYplJdSmexYZIOjZzAaL0zOdPhBSIMHNrKrRJeoaDpbWdzpHOVS14QJ5LH2QkY5
XhJ7quTGoA31oBGdeUTxkxJAFU1vWZXrXwK9pVCbbfA+dDqac+R5cOnDJK6fettCPCLYdcPSZDPj
kVpz2IlRobXJrhJQbIHI5ldNMDqHQWndpiKl8rpC9tZS2evadTmX6jNWrQ43yohHHsub6aMfClhO
OnFbpXV1hoXk7vNIDzftMFc71Wqmjxqdp0Q0qju5WW48070FOINn50GjvrtuylptkQUZe9qZDl0a
ATwqSgYfSSnAEGYZPvPt/NR33qsYdEgXeh7s7cjqyESf9ZM38Gpg3oo2cW0coAy5l2K0QY1P1nC0
hTMT5kR2IHJYDE5UjD795gb5htef8Mak13j1vxGgRGBpMGnbxJ1ewimPfGmihg7chLaiHuT0yprp
kZw11KENeUGVnI2N4EHfRUPVQn0gXAeoGD2bMi0mSaONPGRj1Ne2rjmrziqpZbW5+RJnpBVyVJj3
UzPamNL0tr8gX6YPrMNKWxeWHLK70YpIgo3YbBILES79rCG9Fk69VhbjG3qsyK6mMtrqqUvmBWxz
IsL5cw3tjDFONwrX+EoO6aPXSiSLLNaWKDaxacxrOiUvXsEI2gsZeCgQvsDNCX+Hil1upZ6ae2UC
mA0TKP84kkqcFL7Xa0ipw/nGiGKEr0n9hHAkuSB93gdC7imsut2A7e+rGBmDSEM8Q0qFHDZTIS8A
r12F9nA1uv1L7iX1rerrW+w22bTSSrQuK4SpwJQycYNgZPIDTUaHGlHltTmI76Zw+lMpC4LSWf9X
MWMwGj2e+YxFcImGQgVYVeOhyer/uHL+b1FAzHFxsfzvY+ubNHuBwPgnV4787Zv+mFybn9Da6Piz
Dd1bkhN/nlwbn8j6sYHySk0izuCv/kCKOsvfAHTATiwZnP/hyMHHo1tYeGx+yPJ9/5adG/neh6E1
igyHBo+Hq1yiPvoYztMMqcvioNdHsxMj46Zs26GMJQK6c28t3LnlweLNKFYd8i5rkzZ2Lz7jZEi+
Z3Q+UMwj3yCJ2M9zLw52ohdG89Cjm71yyR1ILgyumq+Qop0vFo2CI8tghpA5kWtvIZIDJ4zzI7m7
BIEyhF53Q1JgbakFDNGoKnFi9tW8yyd9FyoGuuEcyWqbQ6Xzvgywzt29qzFWbbp6sp8HxbHrMknL
gcOEBhRfXGduDJvOuo8cyMUt2onouQedmgNmR/+4rVocNNcAg6Iu3IosZ2Xu0XZH4ypn5mSoMxMV
wna2JLLO1ZlkLz5uNOINRMA7JWaw7yhmGijiZa2RFV5YpuVm7wNyFK8EcuTBmW438P5VkHE96XFO
eQ96J7A8Ta37YXBIjY0CXXtVyL7VvEmj2MLpDOvHgkJUJCVY8LxvZjGt7B52FEMASe8UO4mJWyZy
59okbDupzNlP6QrCL2pQw0YcoMm5LufkO5CrqbVSv8vDySIgkUDvFfKFIdzJdAyas5N34qApgqS1
BNnnjFZxpQZa4QkFxSGiLbILrUrep+CzIaC1LHvD0jPTM9xGtldNL06VELEN4pNj+MSGvvTahqXr
1rA17MrWzA9gJftd+t6eq987dUPWH1wWRqePCMpeenk4D8IbS3o0/aNsXNtmyPSgw0WcIHzF6eAF
t83SFQwKwfqYBpm7okipbrLE/pyWeXhrAPm6qGhwbrMqHb5EZASu6S4Ex6aKxluehxISXxnjVx2D
SybL6QmuvpA+U3oMyPDT1kqPnbPnpcFjVI3GfoxscSNA4XQrDGPeFs2jcR2wbe4EgNN5rTtNOj1C
CaRbvDRHa1sv7qFFpkwHgygEZ5bUxuiDxXNGvwQudCgayYja69p8Q8uzOyiW7p3K0vCR4sW48maH
7qxeWeoB3Es7YYUmWGfdp032pisTe7rhzBzGoPUVmxRyyArjkHWBsuAcGmU9cHhDldyjjDWN0bnm
qECCNAkHWUEIYT/cwJaVDKZQYZkmtvTFCmMQyUcXGR998di0Y7Hj5Ft9UzJ60peWM8Eq7pE7ja+h
Mkx/aiv3NEPNvUWzFh0LVOr0jo35uYeSmC+ZefI1KRvtSswF9oWaRs5RZaO3NZPqx+DVwZ5EKTQw
IxPmNHCSey91+2fNTrKnCS/Sk6G62PKt2k2falF4a8Wcc2+LrtlpS7vdWxrvMVIFVSa2Twhqtksa
g9a8V1hHNbakShf4JCoEMJ64oZOG5MRaTgqWrcWXIkjQFAgUx35J5jdPMQ6SyHIJCqFSa9fI46ZN
qfrKVwHNY64LnQZinP1QaH5Fm/xYal6xBm+BoAXQ/E0nms/x3NwnlXC+407guKt5gwY3RmF99GU1
Jw9Ok5hXOXTSa63D+wz3IkB2ER68ZaCxnDF4NZYhxzLusBqtfLV7zUV5M5cXg/H1t/p9MKILesFe
rqorTgbm5zAyLd9m5myuVF4zO5q98GRKvf/SWYKGG5BEiMiaD4dOx002YgSIl3YcpcqPTNHEQmxw
TZNGbSxbjeto6I1nzqzx3hAOfLNRqYlZJXFeZmpDVeg6KXjjzEg74z0T2wbPM8dJzS1vMaXQEqg6
HQDPAoEc2hj5ImhejYNYrpJxL5fwpVItmJo0VMY9TSj3W6py3Dw9eg/DdxeqJWn2050pAkTpsONe
kEcsbiqSMxmWLYzpXjPGS6gXZI0AYSAzXJngDD0Mcjhq2rMDQG9ahb0B0NKgdwRHj8z5HN85Y1Hd
vRa6LM+I5gkkVVaJ8mF8rdnz7nRlT4dQBHg2oxasWUISNRw+RAy1OV6LbklZdSv31Swb660U5ve4
quW17gwtUvBlYEeKyKbG6cNLLtKTQnl+8ow0vY40OoSgLl4jTdarekkGQH36udSa+7GGJujqTeQX
iO3ByNnRNgb4gmth9m5rvSk3wpaR4ZutavehiM5ZOoRbs4+DdVM0+hM5GuYuAcG25X1/TebCvasl
IQsR9u2H0CF7U4+a6qiSlOYtXP/sZJX4c6y2wKVQaOFeqOUMaed2tzNhW97y5OYM8j11iQElfa9H
IG/L1DGj7EGoH9qBeeQ3nNZSVTC7rQqGQ5Za+SUPhLXNlnGsvgxmmSWO66nV4mvR4B9B2V7uun7s
1yYz4S+yacgocVFvDEx9u1b/ltQoeuf3YTApQ/3KXsbEplvTwm7LdA33SKJJGds33RjSTa9P/X2i
2dZmMKGtliE8EtKMXOIqRHAfLzNrG17DTnlGzW8R04MPE0PfJO9jb1Pm0DibSBwUMMxlQG4V6luj
mdlX/Fv9NkSv8D1f5uvTMmln2fsaudmPJo3bA7lRC1Q0TdeAWx22bib20zK7H2Km+BpW2DUkdLmV
ZPjQKBDJq5e46NyySOw6qxDkvgYZHd3MOIKrjrdVl9QHQsOqTY9jYY/WqN06I5WXUCXNSBkNV/G7
MCEbASV2i1pBg7foj4uCwXDa4rWzaIHxuz/Efaj7/RTZe4U7yY+t02ySmVUsagit8uSWwf1rrVW3
fU/3oYiLhEHBvGOJFquJM4kem9Mqiux4ixeUCiPT7E2qlWenam4djaCbtt7NKu9XWp6qheRx55IA
f4QIGG6LhpkIfUHaajGHeTOKju2cLRqQ7GTkQtx57ah2md17e3OioTEb+S1ZshdwitG2yzXMoxhN
fTubbr1FSpLGabbDPlquO8ZgazMsXQbXPYn2A+6JUDjGjehQkLC2Ow+dKeP9nASgXC39Rx3YiH/e
xSuQLldAyC02shRpC2C7WyV17zXOJyiNgsevbMXeHofi1hYDmp1FIjNYPZwcr+oPI0r4fVKEYhXG
s3vMu+k2i62vZuB8/o8E+P9COJCO/c+Eg7uo/P7jvw5t9lJ8/1kJ/Ps3/kE50D/hj6FvDgWLEAQP
4e4flAOH1FVyAzUGR4xAHY5NfwCy5Ce+gwOWDYjO1H4+UZn8c6alvbO2OGj9GxpgQ1tYhT8L7ZHy
uwbOCn4Hfi/jIxqwJj2HUbVX7gWvKnqbqKTMYW2AyeuBM5XWs8qH4ZSJip51Xz1n+HwpwMG9lH1G
sT9HKeokM+etyItL1muPRA6F7GRZnWxLE+X8zBHr0MBl9c1JOFsob4pemnOuCAleyVG/oIhrXjwj
P6EtOBlCgQeH09VBJoRGBWIpG3p3xZHsrdf6+JxzHf3aqcifKsp6pQn6J6MFvIhx21XpaRdbbw1s
7eqlHOnGWmmzmcwp5dAVv7UZIp8cb+EG8u3ZMUakeg4ai7B489KCqdFwF9C4Ic+938ITP/XTfDGR
OmghX8XGCZM6fpkqJJhlPb9arC3ZoL+Wjv1cTy0+a9SjTR4ZT0FNL7pBB6Q0zMtlG8zMS92z3hnP
6ZC9OLBGt1qo7jSsWMsV6HKSHs00e0uqhQYPf2FrZBOnjFzBJg7RTQ9qeAgNdbccfX1EkiENE++V
WG5vp0fmHg73VdrL8jBn2DKEarkwmgaeJT7Khb49puODTdGiKvM5MtIjHJuXpk6IlbbO5J9Rudhm
uzH5QHQ2UW9OFzPjXqGx3NYe3VDI0MeZXILVCJBmVUhqUVlyoWTUkABEJxbRm0b3LvUQrIkBYwIi
m00olmsZ5S/shmrFrpCuOkVe1vKzEJYSDIV+l/7ipZNq10fzle7C0BeDdlU52O/hJ70ZGV9m6fEp
Tccryc3Zu6WH8TzmE2Kre5yDjgqus7N17Blinbb8oAH/1Bqp3nzdWMmRo8xjY9YBxfP4kGvWepwK
BtJR00H1jV+KgYIuk+OrW85XgwxjP4kQoqa18xyP2je3Nm48FUMbxyk2yW4/WxDc63F4mGtrj2e/
40E19mHOPRKam/nMnztEFfMVIQCMxhX3EwSeQSQmT8I4dx3H7dwgM0B7LEL91eMQQZwFLbEOQxq1
2kPd9A/mmL3lWjL5ml12gEzHByPQo1UadxUVTAm6whbgbQgrRSjFddcLm5Og+VzWBQoT0zpXlumw
a/F9fE5aAA6PomE/x04zsZvwOAp9PNPDr74mgfB8B//8msJkuDUIy1hnY8gkoqZsnzzG6bUzDcca
r9OhzZkMjoMQNykpsJt6rvKbQlTTlpDU4ZgT5+hLkRmvnd5+nYbGvtZdGKM8NeXCCYEOUiVroALG
2kln9RI4JTNPzv9g0RKzLh5RGzwiECaKbDZbL8aHB6Q/Cs5mkX7l5DQgOs82nHMndJbxuuomDFnm
GJH8RboSCiUSDY5uCbzEdupzJqJLUSJ5VMJ8LAU1JaxyyrHeeiHYtXktCtnzVibRJrPrlYtAd1Ut
46Z8Ua5QJQYXvWPESo9iMeHJV9wAJKLWOYnmg+bbo9S3EAy4bxOvQD/zGOLc1/DJmi6xX06/G7Hy
r6B0PDvCPveyVodgaN5w6l+Zdnr8qYF3+W29/i9mupcyLrr2//+/j2a8JcWJ8ZsNKnjpsH3McYoT
2yQPNOWoPIh0ZfR1t5jPzrFVn+ZAt3/hUGJT+rBn0H9jQzOQvpu6+zGTCzVIX9iTU1Dv4ywudKb6
2ElXNoXvL37SRyMWn2shFHJcBi8JE/IDaVcxgDSSoMIb3aUvAL/S1bIcJ7qafAOUFqU806jtP1/L
xfTy5x2Rn4mhwwYXiZjW+WD+Co3Ci9w2KPZTZ0VoIocHwiAzXxg01oWV+cvnJSbmqmlZ3f75R/+F
Pvv+eb0lj9shiOwv/jo4qArDp1vs2xw5QcKh8IIWGoZcq10lZZLuNW98Ve0ITU8NwzFBKAEUDqk9
gIjXyMYHXcxXPQ5I6ldr73k5E82+QWWlrpTN8k2PlqGkybNaJieM46RQDHd4YR81K4KsOoL8cTPh
j2Xp7Syc8V9CTg6MAFke/vmT/s0jZGA6kgB2dc2S8sONlYhXSDg1iz3qx61Zahf82Jd8Rrz0i5/z
F34TT5CpG0tpxUybyCvu9k9WPk/pLuqB5VlFoXSACXSZOEZsNKZYq8L2kjXq2VPHPOoWW/UFVWh+
Gy3WRnMO3+qBdXkpVZKUAkKX41WICBIYcP8gPPtsNMMuclnuLbI3/TCMMPeOcnwOLTnt8lBWS3pu
fNXjk7or0vFxbNj2exmbxy52841CmnpFAMVbECPrLdKMu8gUfDeKBPH6vKA7tnPXsnlXxh6o9J48
DAQI8DUwDYxXqYPlV/bzxZnAGcJIgwHgiq+NlU4wA6mx/vlC/s0KQ2cfr5iO9UxaHyPqZw4jtYnb
Yo9l+r2cGFnZ6LTa8NeN/T//LEYIf3kDLY19img8x8Px++d71kgMVgzZClIGhjuzjY8Y0H6xYL47
VT+85Q60VZNpBQ68v6SzkwnMOF3Tin3J8HHbxshEzGB+XVb6GBU/OtngmEpzj7b1jJgj2jhFdqS9
+tQmyTeXJj1q9wHlf5YY+yFhE488Vqdqyk+6Hr5BujE2hGCn+8xgRJhYkF0YwbXXWWwjtak+ux1/
jP4QjNUUTz4Rn2pFPGFHHmhdbWWDuMHwarnrR6hbmozfLHqF4GDTE8P1Y2qFkw/AjwIVfeBo6ZVf
ED7sD1p3VxaMUZkTXv3invzNG8u9gACtsQ6b5kf7dSGrbiynvNjrGQeFIcpjP+56KniyF04IWLsV
OoxknU3uObfIFg3aRlthObkBwvToBilhHXbRb1XAMLcDKr8mYeAZAoCxhuVGg3WwzwHhNz5qLGbe
MqHByEpUwd9ewx191KR6Ra22ip34Hug2VVXNB27EuEsj7XGiEFtVQVTtjEwBzFV3oWUvKFOeT7Na
XF/2gLlMmMk6DzJvURs9elUznP75Iv3NS8KesfynG7QSPsJ8VYikulNDsVeEJVDioCNS/Domod9B
Ff7ijuh/MQqzW7jswixrODndv7yTtWlMhjT7Yo85ptjo8JzWbpAcA3YqT+f+MOynpzxxQBoky1SS
UAGG2Qn8ygwtMbCRN3iEwIKK2nj2jJdmaSIXk/utTfVr2g03mQcgDhAG6esF42+jal+xSd6N2XSV
O8tmzGMWGukL/iuqVHxNyaydwJStE/yNPuXqBoKEu+24pe/Hy9kcDSQUfKG3pE7TsvQTdODbKui7
VYZu6DC64+X9EBQUY7lWHeF4Ra8e4o6DpIvlzZ9rjnrWrB4aBFeryfQIPxugTeJsEjEJqFRrutPj
3sEbs/yPyPmTYFgeyKoftroJcmt5jdrRQsKrHuxwOUBYqeB9ImA+q6mWtCA5jbRc1zSW2k0jrOca
5dzCTquvPWt8bbpurQi/AGgen3D25743UoqbmfmcRMMdBD2AyQgpySc8igG2bV7Xq4aoJJrT2ZFD
8S4P2FkASPFg8nbYyCrgYX6NWlUcU92iMU1INs4tfzkYMXUBy1bTY3ap7LPOfJYN6pNfPLl/83pT
68BYIoqUJ0r7sE9mk5HU8CXyfetMr0U73IGTPVNfcPEsXuul/no/apedp287j0rv/Z0vom47qVat
6oRvI5R3nXZFsvFSb+0OjeGQ8xySiiXdAr1dP+0RGcJRiVNYPSHmr7rIwlcCCb1T1ZAGM4fsi7S4
YNqzlvuzY5ylYI1JuulxMCi3tAZLBOOR3h9DdLqZS2UdcjBkP4ww5PgglPHaJf1DN7CCNrK7a1yO
pF6fnYa+vzOtBRmYQUkAkmqsazVfETBOYGGO2AZfxsoqp1e7nattU3V3DqeDfRrb54FNhENm/2DA
YFyq+Q6F8W/7639M9r8y2eucIH56Vv8Sg3pf9sSgrl/SsvuTYgFz/vKNfygWcM2bNMosyj3LYsjN
X/3OEdU18xPFhAuLzzNxxi40hz96bNYnuEgY8A0DWwhjrv8RLZjykwlrxOYU4Om2pvNN/0abTRof
2myaxz/BGUan3OVETmn/55IGPSqrR1CLK0jDwy0233wzm411yLM53ThV364JA5R3RmZD2S1BmuvD
5B1c3SUiPi3Vw5Ta+ZXRytzX687lqdSQhROAU/hEoSXICotoQ54I3mNjb9KDALOzIM5NMtr69IKQ
FS6VChkq0LBf6QSqsj8va2eOIQ/BPopkjITyHsQGh41KLk7GMD9jbm0fCgMnVut05npCi/BdEz2x
aMZnjiNvRoVGAEHi7eRN3V1S2tauVpZZrIykz+9isNBHrAj11eSg0FiNdZ7u6I4jZkbVdz0p2znk
4ZhvkmTujmYTeNuuBQmYpOVsk2WvaYDhhBxh80wBtqaxwpw31pw0J62Y9rPWaBto8gHjztq61hp3
n2XyrtIWiT6r1ClP0VgFY85uxPw4dIleS6N0YtDrBlv0mkAzPfoDbqE3qzpM6SAidWDW2vjcrPxq
7sx061jCOebsnD5IjnzVm061HcHe4PIpwDAyp8JEBGDyvrYKtF1T9Ogx5f5M29I+jKYzfCn0ElML
9G+mIkYZnCtkZlDdyihuPL8Wka5dDUVgzPdFwyiu38SqdMUr+bQ6RRFYe2TkPW4bOOtF2c6+ZpUm
fHtSA7EOWQlRLUbhnr2QOLaNolk1rvD71mwwsm32rPfjzsmLgr2GfJ+bMQcMLzjj4H6KRR51IDJb
Y6D1FFtIfBvNT/QRQxHgBboI3eABPGJAn57FhBVNsJeOY8g8pmrmpjmV7H4iwqlZUsZb+OqHFhdA
NYzFXBydoOjs5kspA+uumSsVpyuvLWNB1lrTlTC4bgHR57uixmAEQM2Zh0FtQfVrkCrNuWo65jET
sPfPSutb7V7A/nEhJHpJlnuELOb9KLca54cR9lEKNVsbTyomIqXe1hzde4zjmv6EtWe8VYww89WU
FKSzyVjHz5sKpKpozuFXi76lLRdPg3iMUitO16CmGZR2dj6eUvDDAPO9+rs1h/VMy1cGd+g0ReWz
ktSQ4clAewwANuVnkUxS9/Nq0m7mQdnDlu6pCvwezGeBragojvhdo31ZZGKD/sEIfeX2uDSDyAlX
TOzGpxTjHLP42ja+1pEp11mYhzd1NNU3do0dnohkNr4IKcuOX0A74aazNjmBAeCHM/DpU1Fd7LYp
Hr2xxoTq1DomKAZZsPV0T28OMkmCQ+SSD+hWjqCCajsnXYUdxjCCIGFnajqGgW6YU0xlltFNJDlG
chNpbXfXD05xAcod7pzaXEXgtW68ZAgfgoxtF7ShtFANh/NvDJ7/bIi/2BDpVSw71P8u39u/qJc4
/nnY9Pu3/L4V6pb5iSMTsxxQ2xY7l/zXVmhrn8Btw+siXMXiS9DW/b4VSvkJsZ8jPXpPprkMqf5n
L9TdTx5EazxFWBA5aHj6v7MXWksl+a+Tt8lmy/aGU1namuuyaS+V6E8dGcJQMigiobwHJ1Nhop9z
tEOItMrGn3m7QRKESHzirAF+l8qHKErFnfRAwBWmmCpsIEyrUUXh4tOCTK2FrUPzFLiXxwEiGAbg
xrcFPNUVzcn4kjRjhW23gsFVouTZ9ib0gkonOEoKbQltK9Q6pr+zK+WU3s2JMe+90EE2p4v+B/wS
ZG2RqUyUVXF0w7vGehO1nXphII6WzIiw5oQRl82PwgG+bpM289bJtPoI37H61ssoeelCNV1EiqdU
gt/9QmRA43vkOzu+waD8x9CE+kpWdKfY8vRb2ki3eidixOdZKz/3xjinvyj2P3B/3m+BTdOLu6pp
BGO4i8Typ1uQz6aZoCOx7+fG8A6W0VubSi4sLQ+4Ff1jietyFcvcu+BylNeFwjG6IiUQHk6cAnGc
o4QRmmOVB4zVAy1mKyL+wSy/63Eqnoraau+iSYw4mBN6FFbH7MKNuuwxyzA14fSttrA+yxvXbT6j
M7D2mIGvnVDJBxlJKBkeLES7/vbTS3L57QH7uUW+cJP+/NzRdV8eYFzdS//iI7usYtAaBhruLbPM
gy/6cvfDstSfaRKNF+FozaFPjOaQ08zZmFGBLy0X3bxtjWQ+jT2zoCrVuQyepcabELvQUeFXvg8m
/q8G9fSDIAqdBqFUNxExldcI/MaL5QaPWPDkzsO4yHxDDT6Jx7BjC4WNSDRilw6LK53ELwzSOc/0
Asm80mbje2H31wo43b6jI7InwYGzuYmfMh4BAo6coal9vAj4H+n2XnIE7qBeUQ2i7gYj/IoUzzg4
E7iyptOpBiNoj9UAYSYmUIyXMj07AxtZ1qbxPjUWVxQlxiJhghGbzBZHTU61RFOgh4nfZ23k0e5Q
v0tfEiyzdopivCO1k8kJQvXkxNCzvp7cTD5NXVH9cEmzQA6qGjzEHDnr/Tg7+raI2nbvjVV8lXWd
dkJERUByoQ8nK635cNLoMa/V0ZwgrI8SHLAmzjMRd+NN2+lcUBmHpIy7815Zy7tJlXKLtLZ9Mimv
vnnkpV+bJkWVFo7j+Z+fnQ9rlsVGLz0a1fC9DI97ueirf35hJCf1IBwccYerdL7tvL7YQcbKHpll
u+vG6T3f9JZnh6iaV/Ags992bTWBEpqi72SaMmuzZXCE7Fs/sYdWBDdn2o4t9Xn0TIQ6vZ1/zmv+
lXQgCQRXNyazjHt/XSI1W2lE32xaKxw3Ez3zu5GpMaLYiY869WI6mWjhfJaraTvQtVsWVLqljYXM
bQPRR25iDeEOWIphPDdU1rfvj22VwHACWjGdmtrSiWYqAyhMrvbsirx98hK9fcLhW58BSwF+wSwO
YtEAY/0ND9CuZm4Hwpiqmi5l39s7sijx36XEg9y4Wl1Om3++/O/TgH9tGcvlh8/tAkuzkUEwDvpw
elI1XYNwboI72VQ2QERwBvj3a3GPXIpPoCeSiVzdiodkikncsUAsg9JsyJveucRlTyuDd7Bfyawm
3Csdqhe6jQ2gllqR1YDJJvjSmBMfRgPBe6jjXmz//Q9gLturvgRG0j7/8PwUZM1gOQmdu8yeu81I
mX2ukbtua/S56P8K1pmgVqwX0maJKSJL4PEtqhct0KwrdH/BG++ewcI8lS+IZfVrlJDpEXF5H2xr
vKIPmQPYZxXhLnZ/0fh/348/XHzTMUlxk4wYaQF9+N1VjpcenZZ1VzI/LVbEFwdvPM3k8jZtkz3q
UPlPydiON5kzFLsuX/J2ZFGA7a3i4cgIC/6MJ5tDZqnmUDq1eKC89naeAs/iN3QLb2a3ja8dyedX
uQeYrUNL+DawTXCLYvNbGxBtRfQ7Xt20JvmwN1Va7BwEzj7ef9QfkrFRB9vrSUZ6sheucI9tXAMp
wrO+JfAH4XwWjV8I3IDSr4bgEE9Rs0H0W7h02OT4Qw+Zt9HQN8UStCb1zWxUJNGW6Tc9b/Y4BIsa
KFZVHTJzCL4UDq86NcF4eX/1Ak+E3xto0MPGTvnDvkjJdRobeYc/burXeWIMjOnr6LsGUnuLJTP4
wpM3/DCzfFlBlktDMDSq1wKKnjZz+UymR3dVTAN9gqnzoGFVgkJb2zEg3eTVKPPyQFbTCCJWthAE
5ADcJ5PX0aha0rWy8ZzoC+Xgnx9iisQ/7aC8hozSqBl0lzV7KQc/lA2s1XnfgrsjPk8Hy8ApHOfB
+9oMO6TegS6PQBkvMfDRjMGbUqx6sWU3385YmtNNmLeHSKD6jrIkOxJtR9twQlmX+rAc4hx/UrHt
ACPwuuqO9m1SWvaZ5b/7hn52+NHHjinWzE5zZOORW8Y7oDO09eD9bXJonTwHZmFkK9KKAqg/elBq
0Enyfu+GiBWnuXI4kOefR1XCHHeidmKkK+P/Zu+8luRGrq39KucFMJEJn+eyfLWvdjQ3iCabhPc2
8fT/hyKpQ/aMOJr/WqGIiZFCJKpQQGbuvdf61l7VrnEimEOPmxZ90WuND+vE80VaclmXh0nOpF/w
1h6ApSxHzuV3pZzt3rVTenCMdNCM/GOyyiz9TlYoAS0CAFZ8HnQyePeLvQptHtbEbDHaUSh/tjw7
3zTDkF7QuCF0S2XaYHQ+I12szahEDxTYlNF9Gj2zD8TPrZEsbKZqtPxVCaXwHd5MRdZBWrvhIeLc
Mq1zi9Vg1UZV9GowwLs3hnE54DRTeSFA0O4NdBubBgMatWbUd9tuIguZr5uy5GVly41qR+BIALh6
XgMdYQGhG97a9oaI0+IxDLv2GAhQKcxzEutTZAWMrELpVuml0aEZqnF9ncKOAN4tlbL4lAOgALFf
01WlU3QGEszyKnRGnOM8CD5Yh7K8NGzEZmug/tZ7IoZjcm8o/k9JoTC4Si+Z6Bv0w6FDHU9oE7yO
r6ab+ke/nw3U23hXGWYHEnZaM49bexgUmEU3Jh2tCXC+N0uqbFxzylxNYUP+BB1+5rTAmwh3yb56
3njflfWCsOXYGqzG1MOlPlLJe5iP70ymG2s2A6y5LWzn0/lF+m9l+zeVLdP3ZUn595Xtu5c2iouw
K4ufq9vvf+xHdSvdP5iuwaj63urlLPCj0WvafyxBTUuKFEXl98LWVrjSmPMibnRczv1LzfvdmWY7
f+BwWo50kuS/pSr+R4XtL6sjdSz6TXopSDWBqS7OuF/PiHM51z14Zkh3Q5bPa3jl/QnvVudiUajb
jz/dmL+oZt4U0cvFGDIuihhlM8B+O40NncnOvKizTxE18YeCaPpHTcPumZkbZdwZIQ0V1X5RQ9Ic
/j8ujZCU6n1pjy/Nip/PwrGRyqkDfHOaOct/KBRmo+2gR2/aetQ9jxY+XBidosEtgfCR1/D3l1/+
+v87jiy3Gb+XiQqBMEt+uLeXN604LGgDWqcMEwMIOmMgA0h0PSjvuFwuNy3xOb+/5nln+9NFeVTs
5QgnvXNB/VPBXFTkL4Yo1E+OWYBhJpv8aAIXrXc0VNRz1QHYsWOCBWFh96C5o67vXl2ypvYZ7gjS
fYj+21ekIE2HFrdBsJ3n2X5xfRM7ChAIIS+HKqA/EKMxpx9fSU7bE7BXa/377/GmBD7fO5fm5OLP
pJp5G1zuk0lOHExknmSPfT/t6TlM2ZJx5LdQo5FalpdT6rSvv7/qr4Kqb78YCbfK9fxFxqzePDCu
Abl3chp5Sgh4ffwW2e4V0VeRTPj/5TzdO3YlbzAqQKfVESO6319/aSi9+fGwiYJocTm7CKY6vz6w
ZBkWaZ1OEgm9O93HywsDgYTqf6jl3xSKb0by5++KZZY3ywcgjuTozSIQaK8rhOjlyY7VdG+AmUh3
2C0wBQWW1b5OqW2/DMJFWAVNKl9X3sjLYiQeU+8U+NQ//+Jou1ktsfLSDnzzxU3bKFVNCXHqGRfU
axvfX3kFBEIMxKESHP77q/3VS+Kx7PFe8h+8w29kO7JKBDHzg3miVUFau47I3TonYfWeKC9hkhKE
NJA5VdcxTzldQBD8g5rgwSSSlrRMZg4F7jDdh7WzTFWESYxZOqit7Ji70sGoR/7WhLcMHsM0Xiim
BdnfVGpnpeSbhwVjs2cLFPakUL/VOSVZGPS+VvIUBAm5cLPXNHj6eG6mLq8+NA2KuswfWfc0NzD3
EQ9jveAc0WraHMh/OGPFqV1nGFFmsEAyEO2r34jp/vc3+y9WwQUoDgmcrhZegDf6OYNydsDpJE8O
yiwKhnAqL2XVVB+kCORjnTV/92QvO+gvb5FLdg7gf4Xx3xE+s49f36K8C81EpLo9jSQlXRI357wE
0MD4h0VUWL9Y3hrLpeETxAFJCWJIIopFyKMPMUm6FckZunu1yoEnXZAwJgxegtiyWTiXZ+J8i1p2
DXclY+b/7eARTkai9xUHOftoQmy4mTWBeL+/jd8UlT//3mzWhDh4hITZJmP8t/mOs58qD7R/eCr5
U7Rl9dxsEs9IbmsU+N2hAFM5rhNvAEloOkZGaNWAXXanIuLcVgjILLHWtBvWZmICbM07bzfModEd
IrfFpVPIEBCVETiQJYWF8XElotF4ghMVdhvhlSXByqGOHNpHlCQbYQrejKQd+y1bgIuNceH42n5V
nDDgRpd+mydXeMPKmyEhWws8eIO0CAE13ijtpUQd6+yzSFu5AagNuITMpbni8w3Rq0ba4F50Oio2
dNQ6KgPlIIGsraS6I3C8xKQd4WFcYe8S1JAEveJ884zquS+yZNxYgec9KDRXAqVHyOGborMeIKOE
DfgKVxGK5Ham/wktB5itIm+79DAjdwe/3vc286eaieMxIO3hygx7fMPVEFwwClAPehxIhvSweDcn
pIQS0prTFQ60UTOF10pecXXnhXkGi01Rb2/8ZFTPYdSz7aY8Ix4o75BoXRDuNVqOcMvRQG09Rlp8
utJxXuA2c0wofFYbjoAsxEPF29zGmj+mvTaLNoGFSB/FLyGRE3lH3hXosrRnZ5aASCpAfL3wqgsr
RJB/7VplfWVMNNV3oS7zCMlfPPlHgPLRzYD74bMP1xvwtBkJLJKkz+JrCW8a0yYTG0U7JSXZH0LM
72Xr482ASkkQrw9+piuphShY9vRggh1okvJjrlrnfWkZjNdcSjselOlL2AfJEsMZFhvR8/Oso6Ar
CLupHAQsHn2APMyFRcBaMU1wlMnjXaGIf7Vr4HCTE4fVo+H4ccrM2W9T+6IokHg9egPFsuIBwHPi
bXKPFg7jX40cFFISqoqAygv562gigkrt2KCdH2uY2YQIp1JV72l9MLbMVZqAASG5Lfd3hlgOP7OD
m5a8HUjyiylEhD6HIVZw+6X2R9LywNLS48nDIHuajJZfTAfkZMKVIlVw8BTrCmSUeB9rnkroAZLN
1GaOa61xU1UfVEP3eu3KmR8VMLixFmgANqMaebyKEC4evQqW7NgGgOsRBrmetWu/BM5I3HksOK/i
F2c1ykccAcGsnkfTbF9bEnSObk+CpmGzDlGsq23e4GxY1byhPtgIi79e10tgJhVHiVWFNMjeRXKd
0p69TAtmVjVyav5PZUZOTbeMhVjOwB9ntiKDWy7TnVU4wwhECcXBB6ED/8PsLVmNvsPNaUx26hWT
Ef4fDS2tG0BJLDHM1PyrsGZEprxyujcdl009NlhRz2skZzj/KnDYRM9hjUHpt6+1Wm6lIiDssUVa
QVz28mmJikPSZ+GduCs5dppkuMf6jnxo/jXNXLu5JfSQwMqQkBycDRilbU6G2hzlI2RftT2HsPYx
5YaVJSbyKZPtuZuqcaOX06M2ufcyX3I6eSW5UhoN7SvZCRM5jfwbpB1oWkSCEteaDs7L2VONJr99
rTJ221qF9QfswJx+J3q39+eDwpzWhb4Aa+i+mBPnewbb/LQ1H2ZiqPZKrJrHvfAspnz1gnwC3rp2
y0Dc0KJMyyseI347Isw4vJc1G09b0tcL+EQiERzCS6LLsRml1QfA/+zmOiVjdxuYilN6O9NZJXUR
43DdNnxyAho4QZXlqImmMxpYkOcDDhg/Av5m4kq/FT/WsifrREHEQ95ro8YBuZ2AA3R7+3p0NBmf
uWMTd28tmZ9zwwdkCEdKkG8UY7KFBRV8wsTCxYvzKyQDJyGNdGqWYxA7T7dpxpNvj+1rplp+owo/
OlR7wpeIMWi2he2wtpVLqUIOfbyXWnIwgN9ydPmlb4rW8o58nfLSGgz3HiQyFG/kHHxa6O3NgZhG
eUPsAudy8jluBAxklBZYwJotIGtan4wy++tqxPINLAoTEfrTgqcWGxcBmIvr8ArtBw8wKhruWSd9
9TwNsfeYpNBJth0klT3KLJ6Rc8IP9nvuKQofvv95EUAOP93ruOCuZGmsrlzNBLfGNHBZucvl87Hz
1+eU1gzc+4cEqt0lCYTNgeN+fagDi181Nlt/QyzAch9GjqCqiINnYxk7TTp0X6Al877iBMi3dPAM
JEcOb3zTtHyS85No06hvL8eYJcCRnNG334J57bAO2ztFdvx49MvlB0pqLEo7swzqQ94QJxXDOQa9
RjnaYtUCurIyfaAGgADC/EELkqOsJJGPpkGsESh5yhB78iXRy8R4LU1+OaxY51WGTEctAbXIrNa1
pD9+/obsRJyRW4JGyBVGG3oueOfRqD7M8HIewarAymTpFquRkvaxr/kfwczxs3TLKW32R36nbxG1
y7apZ8ETVWW4NC3/nIrrVAgwTd9A/GPSq+x7KpnlrjWIe9QmGWU2b5rl40Qu3yKNA/ulAsVr4aoj
BYzAR16rWZOz4VmzxagXMj+Ck5DlCNN0vMYhxeoYtQ24lIhHHhtWGkz3URy41nYcCLzTscMo0EG2
6dxPDbQXALI2UcNGI5yX7wnAMUHGxSQoW7PePqZ1SfCHUv6YXeSDy5/O+sisH7CgjJzYg5QbjVdQ
3sTJee2bzMTYl6FkkecoEi4lOQjFGWo1z8S83IBva9FSuA+JybqwLKyAAthxzs8uuDu2tamrmsPk
xfpTwzZ0Oj+fNqyKfUIjYD8UtZ1ee73PI+ILfIM2hoaLKNSN//2BABHjf608+LtrIsmag0H7E95t
5byELr2U81PhTkxkV6DuJXmRBS9yXcgbNDq8OmlrxOUadIHEh+ac06FnlMxebdKEQI1PXnK8fCHj
HFOFPh9/KjiClmRX5k4QZEx5I22+Ao+cfHQitwRJkYW8WV5Qs8N45oLprXho+qRktbdieQuVaT5R
qfNQC0gV/bobWbTPKyDCQ9gMZeBxs0FmLtt3l3CXLG9cmkFsQETFhJYeGUV3LApl2AzMrwyyKrdF
v3zapEdau7VqzXURWEz3ubYpCVBvKJRNmoOfA/QMLvUA6m5RNRqbxG4m4MWcheaHQfrxxMB8KKJb
SYJneSxYRm8asbS+Hb/jCiTU8LQLGczNY+f0HEJCI1XPYqwYKMDR4ft6sCVsaKUPvT/lt6blfI6M
wFinKmkPTlaT0EBn/XJMw+RrCJh/5S1GPwusAIOMkgmENaHLS+KKHUnHsF87Wp6KE4p2n9NEc5/j
ih+0dMZ5gj+VWDtR+HpYhXWJi2SY8mNcVcm1ZbdSrtk18yOV/XRY0n8xilRVQSCCVX5VU8Z5wTVx
NDF75glrWhNU/zS1nbjAu0kEN7BtGpGK0NWbnDY3FUxWZEejNOnC0GXr13VGUPFDmJj8PE1e8c9a
SW6S5TBmowOIUdsam4OF9RlM1MAZJ1+OdHXkT/cpDf99NtXGugf7cnkulJE2cGMsxauqohq2imj4
eKT80mwiS2HcEIzMJ53Om0kQsW7PTlymRNsolqSUONdtsuzh5A4HzwFehhCs7bLYCWyYmO6SaoFn
saaV7kQKNP004gejUl3FTFmOY6XkzTnrXBpd+2rOBCiBdkdXw+Nk7QrXZP8E2snTmoesVjNw/8eB
K6/P66ZKUhZHxYa51XXBO5Et580qUP5V3sAz3wQV7atxsqsPyDPHVdmx7jU1r1CX8fDEAXRjo4Qy
tURAreYZsNSa2i46mKAAv9iDK1pSMHreuM4AQ4HoQV0Z304YdXnZLynjObxd++h5s/COFGxTt6jx
QfuSrLMv0cbuiK8ifMRvCWYX6SwfCdihZecoViX6PNwSLzHYNohxoJI45/+5KCcfUZm6ZDZ41rGC
UX3TzCGb0bcjsyPyr26IyJYuWS52YZp7/tbVnbnjytFj1PTTE5bb+SrCqPREykC6aXlDWJ2pduZd
A5oalq+bww7XdmXcNQb0Uki0qvC3VmNNBzN0jM99ZTmviernL3CnB5QGU8txeyRbk3MVlCf8jVeS
Q9k+o7nyfkkrazZ9EMBRrbE019u6nFBUEYh9g1/f34SJG7/Lqy58cDnjT+s+zzTeb0fste/oG2VV
wROjsfRzCWgNVH6BCICTMpOku7kwqFgJLMTGhhIWcUOjBve/2sX/CD1oWTg6f+rA/EnM//ilKL60
7Zcvvwx4vv2p7wMeX/7hOthf6W3Rqf7XcEeJP2j2WyD6fPrvBOYxxvk+4bHI0qMhRe/GpNl51ur/
mPBY9h+ca2gjcLxZ0kpp7/wDGb/tLVqH/+sWoRmjnY+Cn+6gRTOZ4L5fm2CIbiwjGp3iaAx0Wao9
ZV1IWFtgjEQX0Fj1JeJ6lAxXHaFy6wXcv5HtZO2purxDndsxbpoAnhrQP3nT1rb7OKUA5t1YFJsw
JHFkPTYWul53eo/WugYNhMYTrWEhj2YlsnWP+mxdR6GNudB77YuqOw5WG+4dxmob109rCNF0TeYZ
gJ0eCLfzGOmXYPKmdudEdb7OCp9wnUSX721QcC9F0+bHHlH3TsQuJzXP24gOe/uQxOEtuhj/UOg4
Q5ZnAacaWrtjMzfd8n0kwX6bgzFftEOGcSc0XfcTcosKSGgO+oMA+zAkZVp3TySK+FeUNeK+R85G
5eKdhl6qa5FAPvLzMPyYRS2ALisdDrPXE1gcs53SfG0Ij8KFPcb2OsX9fyqrEnBcYRY7FzHliuGw
vC08dREW6Ya1Mr0z/MDAjWDSqwBhu81C9uY+rZ2HRljFdqxtsRYoH68UapVj384G7FMy/2wa7xd4
GisgdTUnQCOZ4dKJ8rp2Iy/a1r5B+smI51fGpG+b0vGuQiJB9sws8p1ZWw5/azufqsFsr73YIB+w
Nx/dKZ8+67Qny3wE6RZ4aQv1PuAv0m62c/sSflI16Xs7TrxPPQBuNvePqPDavays5NAPobmUR8Hz
4MflDvG2++rHbqpxfJrJdejki/mpmuAq05fe+mRob+LI9w+t2zSoisBXawGDDiWHuTgfCAhGL/bJ
b4rxa0hPdjeLYvLXdZAXW94b+2Rj4squdFI9wTBKIHOX+gVlrcAkPTvi2ijT4dJftq0yF/zIsSKJ
vgr9llFj4G+iOfUvAuEWt5YcyP0e5VMEu65bGZZdk4pepqeJuvyC5OTh1gRadGnXsTtRZdnQlGNp
5N6hN/pY72jp0AZSmA6AbfU0+d0YyUxhDmqFpMbaRXZFHS9Rv2BhNwm87/1kvQQjhSvT7gVDfLMn
SgP4prlJapIYW4yQKITmnCYJjniHYMeIdsp145ov5Tl7mfqQHGYAYu9coj/uaRruA8OXxrH9Ft2M
njJJSb1WY6E+z7auYeMEBD7PS/Rz25t+/hkHPonQNtnQhd/1Tw7nyLvG79k8t1nqPdpBiyWu6eEe
Z4VCN+oRe6mClk2rost7X00GqtM1NoTwUEGDbp7MjHoH8LVIaftuCtcrvQsYm35rbHIHtRuOCZf7
ng8VwjHSHdwFMRaID0Qnjh0gcCO8qbWXe+/wSJh1g3pQy1OBYC94TYK6pdM4K6KyFDJn28AN35cP
PLmk3wH9gf65NIzS9TSA3Ed9qJJPHrRs4+AXA0dqp8xGgnI4lKS0ChpO1sEULS2NMFfP+VK7pExR
eVKEluFRopgcVkVNtVh0nv1KEnqX7iG5DNUB57pXbOiP4XwAnBeobeEsowK4XBz686W4s8KZ1nTa
ZrSRzmd01j6u2KUcDlamahmU5nTi4SPGqihvPV+bJCJojBdWd5kC/RREIQ5QRrzJC7e0hdzbaXCn
nWPTKhYiG9j/He4xbcRAP2ajb17iOWobXC1NDZMwVyNsEsu9LpRdH2lE8N5PTrBxgM112O8tb99L
M9oXHgEgZdSkd4WZXc0hDcpVI53yaooc4j2rytuVY0exCaPO46Wi8Vdv+qKXcC1d88L3mj2A52R5
V7HIyNCNt5DNLWMnvFg8eFmVbF0yaOTaQvy6co2igNvTl/f+4GFHdOvhA5FOpl6ZlrqEM4sKuG6A
lE12uO+abm45j/bkteTtrD/Xuv7EHtWQe2S7pJpR28RDjNfFFLV4CGcZ7Cboqk+OHbaEtBoBmwN1
Q4Ys/rbsfANzixYXQyGCz7PpOhAqSEvyQBKxdAaHnL/qPbDxeNPmyv8wAGEsVx15XYfEqadLb16y
Yh3AjeijQUfBUP8YIZ28cOpyuKErsUPxQyMenW2y7gjZwGczWCT56WC+g9eQECmn9i1A/ieCn7uj
dod+LxuUfQ7hS/UqkeO4nluEfCMmq1sPJ0KyaWgSXsYWS7yinNtUDYUoZu3pgZGCszKZONGxD6K7
SofjegBptbUTFe6RKfowd0E2reRoRyyNs/3esmrA8IOjqpfBN7trfFryywB7aed0AMVTGciD29bW
O2PieqYqw00l23BHQVhtm6LLblIx1s897+F133TNneNIdQUCpVjPUZFcpdEU7zG5DTdp6cxrBzrO
IZuHj7VPaouGW/cuKHtxEwT0mfqkdTkJ5DN9N78U6zK36Hii7urWMW/+nUPTaq9Mt3mBgMFExU03
2Ak6BrTOlKMy9N0jQwZ1St0FvoTv7tPYhvWqIvVmm2pygSMRvsOq7K4lxQGHB89bMVKw4IKl9DCE
NN5PRSC2UPirayeOxaVFxmi27P71ZjJIcLChU+Eel92TYfZMhXvaQO3KpshX8APpi08uNjhHYDhU
PpzHIjRhIOQ+WBaCNFxJUC/vvT9byMP6ZujoLsTOtxYwYZCU0Z5IWAmaJlVwqQZXR94D5aofsuWF
eRxGj62rq/i/Cq7/7HyPMYhJ9L9XcD11L9EvR/tvf+CHdkugxWJ4jAPDlbDFfw7ElotJF8YPuhT8
KcJGuvJDwAUIDxa5RFLwL+WWtaDGl+Hqomzwznqvf3CuPw95fzrWCxSTlC7oYVjxEPpbbxQqTOVw
TmhfX6vF8UNGGmMpvctdJo15btNAn2AAE+8YVpetY7evUmvarpxg7s6dAjryJR70kmFS3zMuiiXd
TK2dOwIcWo5QlLtYKfDVjKInRinPXfogGDE1DgqO9IOv7CdCWFRO6Flugq8KxwEfrsgC41bl9pBf
4JhsWobMAFD9r1bl6bg/jGCEpuEYer2Mg2MAkzOBMubXwwN9CmE/GAXnDDhrkWlvw2RseMPJMibs
hGbrWnBZFr2K+OEwN3nnQ3vGwtvkNtOMMYtvgjyP9jW9Pms9Fm7wWORm9Dh3pXXgS4EIm3vj08hc
4dGnAQdUN48SznjOTcd84khXJ9xFZdC/IMjBFNXmnHxjYm/w7idM78pBZx7QhNkzi4skHGIHG+Sc
AmTejswB6kuT/J1CrhNCHW6iMB2MI7pdcidTvJv6wdCyn4nhDNNkAXhWjuntzZhDyH4IRNnVBynC
QC7rEGLldLoHFBo319XUEueRMrM2Qbccz4/5fzWdf6vpFCayon+/Ijx/afKy6H5ZFJzzn/m+KADA
pM62eOsoSJCJLfrM74JOzyKGwPaEh2PRXep6rvRjUXBYFPih2Aj+1Sn4oeo0/0B1B7qLYAvaApDu
/lHN/2vFz4LE9qs8PiHtCDidb0RNvhz6OS59uIN03VZ5FPkrIBPW6qd7cvdtqfnZnLb0DX5agIB8
SihV7uLMAw76J/pG0A9MtTnBH/qEZj4TRuUTWx2UH4uO8W7u0rnL5poAgnLuqm/Nqs/T/4Zfyr+4
9vJ7/eniMMUB+3DbPG72r02NyM2yyUp9dQhtRUvZa9oRt73kutQf9wk06peQtUnhUyHMmRNk/GUy
8DRv3ca1NkiNGNnRvd93ZIitrdqoL/qUo1frJwxhkywALqybatuSP3JNiyG4z118m7+/gX/5JTwW
b2zbbAqm+6YzIxq7IrFgVgccIuZ2sst5lxu5fSRtSj/VlgCaL1O6/UYOR1AKlKukZPk0DsgZWHeI
9e7cgjF22fqca8il3ytmHLuBbslxgnay8wem33ncgzspZhCDRs4o5vffge3sT78DIkX8FfhiaXS9
UVi1ttX32hvVIbZolTeCU93ErHzvQVr4/ZV+VY/RxuJxYxO2+DcHUejbNpYDfppVnCsNzBLh3NX8
eK5fXzSdVZ+Eg/Xv99dbnqC3jzeiSBp0POK455Yn8Cf5rClbZlNQXg5DGDcnVgfqkZ5R4e+v8hf3
b5HtWRwIaBD+Sd2qGpYLSlN8SeYYQ9FIvlaWwt7Y+o+/v5D5F6+rgwSZhWlZF/60KCQhSLGRZ/Bg
zjI7zl6LU17xzGi9aCByBvrQcVwGXGWX3usBdXCVcfa2Exnc032AOuM49anRi9nLHZx2VcmFQT8Q
TnAIsyq4KLNC72OezachJLpjbc3CpohNRuzIdshFpso2t9IHK92abvtudOf48PsvaZ2ljr/8ahhl
JeJRz0Too5SzqIl/+tUCM2CGOjfTYYRMjkqnBK0TBu2RXMx0V6YtKG3mUFPWGEs5DKFCe8khy5N+
N8iq25EH2dxUaTzGeESB7biFeCfNNL5xlLY/emOevwN3sGWQbD5IqKCc4seMQFQscY+mSNUumuNi
Q+ba9ITcic5hGOs9ISgS9sBHlrP04HaOcxv2JqSlmPE/uwtahCogXIv6+UC7X8N/j/MtJyC5xwri
PzZoKI6JgcihkDX8izoMPkdsPLRqU1Bs1TzcVpkc0b7Nno28Ex3nEABxp7mHfceu+jXSICK/O0nK
R0omy3PX0nMCY7QiRdC4pSrUr5oIE8BwUUfga2ftncBO2lXiwoef08rdEGdlE1Rjiceqb/N3Xhil
XysZldMqFYqusWoiJmdjuRwcMVi995CUbbzcbA6OUtkx0cl0NdfKvXUzEFWdHxdqZeXxeEs+aP2J
zFBmQ3W7RaSWoA5LvxhEFF8bkCeAlMcwNLzmghMon9qVNS1PtQBdi5syqAJozAUct7ABy2p4xV5U
ydVyPzclk7c13XUD5CYRCzK3PjAsHlfAV8WRkVF+ZQeVfjKyFMGfzMV8g8CcskwvDAnB/rJGZWXt
Idf6R2po66UhkeMu4T4Vx46jKDzn1npMbSzCFU/EkEE9ri3rpYR6tUsj0wA9Nvn5aomReiL1riei
C1r7EEzJivjW8DDqfhdF1skM8n7L2jYcu4zEdDzonY+EynylJkTJ4MrqpJvsOsawDiV5oIEVZj2T
phSXf97160aQQ2cyvhOhjRARcfJDkYTXQeh+jCYtDhHG5ftAznqbNC5e5/TFBK+yYaSerI3EVc+d
E/g7q2kIt5/6kYSdVK3KYcajtajy+qQ2gGyIgL68EbFE9eNa5mfMfTldGn6o9imxJmtNK5ts2Ujz
YaZgF5mpvY5SqyxXjagHHq5h9DZsQ+kuDn0X3NoYx5s+dM1907bGJVKF8qozaAg0xJO/JCCWT33c
etBMNP1AbK5JdTsTRMwy1UrwPFrax6iYsoO0YnHwSl4X16D+B9pSExLab9H+RSTPR6BwuyhY0x4q
PjeDHb5PAtm/ul6r31tDM15gvRiO6KC61RBW9lUjjGpf06xbAwUfjr3k/TJ0SixGphECrAgab+Wx
iJU31xtZu/k2F2FOQtM8PdmDKHZMjiJEYoQP2Flpr5Ecgd+0cAhIty6u4kVCVyC6hdvFf02KPq02
VGX1hSKldOOWvd4bLk3quhXpLkgG/XXomrG8ETrMGOdyKJgHLVDRmHSi0NVu4pCdAyXH0gvrK0TM
2Oz5xs2Fh7p1OzYaQkwkNGwg0b6bsbDemryoNzoWdb9Jgw5UqyD34ItMmnGjMkFGXJI0nyMiuXdI
SbzniJjAq4Lpz6MhOF9glItu0xQsQDBw5ENTJqj+sLdsAkbr9apHv7KdhJveZ6Fdv08SK92kYgZZ
cZb9OZXeZ6m0jqNdM6omV+SZMXGGhRkZ3mxE4pAlNmtPw5fEbzxfu1mJNxU09gGNZXVjRXNw4bVo
iPSIQnqN2yeFOrv0yZqBb0601K0iPnHj9Ja5rbvZ3AJWCG9nrwpIFLRn/oypsvYdahVn3TeM7se0
V2I/DB1fiQECrVrgPpgByZ7dApJybiULA5pa5KFVZ85kzbvZWnl9cMFZxVlXgatWnCObiwE7yUoC
2PjKGXh4joeGdb0064tEZzTkONuYxBnn9Z6IJeeya0rjXnOBaINIm+MF8mg+NtLqj2PgEHgLRbe7
R8fLv4ERvG+EWWPcj+R7DCOX8A4TDMV1uW8TEz4l50Xr0pnEHt8ELKGmt24IrCDoNKonhvSmux6y
JNqVVhBty4LJECF667HrcCako7OlZXvXBIUaUD6Gwx7ZlI723H4G0g2JIdEVBXE98DTDl+6mgjCY
Lm/EprHMJrhSzJYqVlbdopr1TTu6mUZzyuf/Fqz/WQuLczXHuX9fsL770nb/8xw3YVzEL7+Urd/+
5I+y1aPKdF0XC9q5lWXxl34vW32TCTZQOZtJ8WIHXEbiP8pW8QfVneQoTEqBhX+Ok/CPmDzvD2pW
dzlUKrF0odQ/KVvdt7Z9eHcuPTMoPzj3aW+9RYKH2h4z9q4IaLvXX5Z+gdoOiGt7aekcY6/dsXam
vSXvW0m6Sh7SZ40nUm+FHA9p1BjklsJj3TWdah6QuxNObWXqOWaWuI9wvK+suFflZTk59Q58Rce4
KI2cI44/r9n1SR/QujbsEaSM72TOyk4ddzMo1k+nyif0mWjP/bQfmEuGxLznfvgki1YhtHWaYK3c
5L0ax2cQG1BKGZ/ppxk2FTyNTO/iwRCbzk76EzZieYGblPb9VLTjFs0ZgbWzEdT3DmO6K/6IrCik
vGFflcYpDqqk3URTMh4aqy6v51EXq6m1xLu5aYbLxBL6kWOMtdNNiwdYtdBN1Lx884ws6S2Gvxhs
WML41nOGYhWNOn8II8fZmdZUrWnFxxtP1PISCdVTSfN+GeYM176tKR6zbm3UotyEQzlgZ47t7iGt
Eu8uwI1+CuBxTihhmLrtSt3zjTPfmDdM6xRg+oGhMx09YmPrbMNnpoffdvbaLul4mwYd+WCyCAdO
qwNzDATrmnWxj27JzaZdbmqCdzYe57C17Yz2Ct7mbHM2QHhHOe9CgANIsQry7sB4s3uyW/YrLA2z
3BqD2RC/oy1SctvC4fdw+ivyjw5dIj7ECYGBPd9ly6b3HBTMg9TYPJGoZ68VXICPzZjoCxlV3irX
MAyBUpP52jmbLAnD+xajPnM/r8yu/SQH1V9E8EBVlkfeqspLlzN9696llhFsjMgbPgRNYJ40yPKt
gzLiCi//l84kxYPjzOxugzpG1jMm7cWE9KlJXGsN2X26ouJCci/dgDmbEZyk1b1HEVCsHchnxwib
eHg5dkwATxOq2voFwUL7kclM/zVOBryCeeVc/j/2zmO5biRt0/cye3TAZQJYzGKOozkkRVKU3SAk
UYK3CSTM1c+TpCq6eNRNRv3rf1PdKrEIIO1nXmMqPe8LiWqwJerxSijVye2gK4Zsaqv+enTtrwDC
xhsLLwWCJPunX1ekNlOjthWCgBc698dNmXn2OwqejtpV/RJ+CWGvPKzW2Gxxbi/3siPPotM4jtW5
7Y8ip6OLUBzdlmn6mtL/tHeYSWUUUKxOkSTkvbOhDe3uRUDrH4S0tu90s2I9Yaf2VdtFAcB5Z4nv
dOveTsL5sqroi92PxI4wY/rApswcyQxCgU9A15+hIe+e2YkrPxG7PiRx+9MGwbpscrqOe+4rG9Cj
Rgw4LbGEqyPkPPJUuucJZ849vyHZBJ5KAbNkR7LI6WKmVUTmK/0UXFaiJvdaRWpNzsIYewZihPZL
lVktN/Cw0CK11SG3xvhWI2+46buivV60p3fK9GhHG1Ns30svCjAB3Z270mo/H2MHBUDE8/Jj4dlY
OWaqJfua7UZcK+HF+8Br0gtA2c6+awd8gwMMqZxWhp/8vlrEZliPtR1Y52gapGdFCAItlq51EDEI
zMhepkPt57Az5rL4PAtvQb2jm45hFkA8GSokpik9IwnvY+jb5+IO3lSxb2WhN5Ji+DbUBOp5VxGk
FDj1NuMIRAgB8612quR60mJiBPJ1haBniwsxhP31bA/WxynZpWOJUnyR7KpStfBZkgYsp+VVh7w9
ymX+TMdc7hownhfzGq97wU8dSwFKxSm9jrjDt2ZULNEohL01gqO6wF8z5KTquzsPV+oHCkE0uSXg
uVSg3Ltd2nUB5xA31OHLoviygs4j6gimo/Adylu9/kp6ieWgHhH5gJvbHyCcOJt51Tflmiy/KA3g
mgdH7JCKxC83QdaOZ3Osfvix7HYSFS+QFrJ2dg2h9AX2yyUsi7i/ysrxKxcLjeeh1Of12k3s0rhB
fHdop4lMvMqGH27NbbNHlUZd+RW6oDpx3iew9/D8q+wj5B3seOowPysDq0JsBC5HCyDY4YLd1wEO
Mw58o3O3r+0LeyFGjaMivZCTP+8NR/koB8JsbuzwoFpcisfAiY5zHWRwScr7WK4I6KskOANPqkK8
KLNfIFPGBrZY6COFxNmLUVAJs8vtYCQ4FbDlpOh2tgF9OM3WamZ32Qq26HXaJiAWbZA2RYm4NCpJ
0U4gQnlJyS0+TGN3nKuq29vrrB5F08+o+7cTDLayvQJOT0tk9NOLfgW4Ew3VRSKwu4uScT8W03f6
UuPehtSBNyfXDQ59F0iEJec0bzw0zsMbTa2J4oR341UuLgajFnd4+1SHHgfCZMnvR1tZd1Oa386M
6yXOOi67sbxJgmo9zJjbcjVm2PZRn1LyIFbVY1AEEG0j9DiAIp+XD34BZWQaGdf7bswSeQn3BU7I
ouykofG9OkjqZLPXbqAdLAB2/KlZ7L2Eimfv0zhq1/dVZkfW50m587LLAjhaiINjeABcu0b9FGvS
sgTpNjjOct6K7L0IepnvVr0SyigAGDDuYGRQ43EwQMghg9CR7qufS+PMYoOYSPfObVwr3bV5v37y
2nH+VDX2fBlgI34cu1qddYsFXEZXAaZKDr71MBKLiaO/rBkDnQ7nyNMgxVtxYoY4yn5bcpyFiOfy
Syr0o7eh8VTdh+uIQ4FdqR1WJqjiRRNGQWHy2LmjdaaGSdyqJewOqLPiGNNjvr6pao7XAloGMJMF
9j1d9uQjGrctSvcks30Lrh9pXmTcjfKS3tkrTtlTM6L1z+1GftJQ7D727Vil+8HtaTLC9BzJH7m5
7IMAAwbfYElBRqkAF9y1AAu+KAeIIEpLGi2ldBmPJbqKlPI6fFqBDiOyTX80eucISw7bZli77FAI
SFFNGMGITb1R7oqks78okWO4M+d2fhemfXcPv4mKUCSXbNtgWHamshiQNQ3g89VJZ72h/6btjb30
gQI3vwyfStTzd7GKnKsqD427F5P/GT8f/wD88cwb4hHbYfCLEBfrCYIq9JKtajx9nmRUbDZWppK9
B2Dqxl8MzpoIqCu3FbDRCz/z7U8IphmzeTvGCXX0cF1sF7/WLJfB3mYIt3/m8F73HoOEWZjzHbRV
wcYGBb1hRuMOXR17AQyNV9F+GsZ82fSjcLcDdg3t1pcpfkedCsmUi3Tc4w9zjf1te4imariaxkBc
yDRE9w2BCHGnyn4sQF7V5ZlvAFoRk3YZjqrTu7L2l8c5DtOvETH3B3Rug2OM5iDs4kUHVwq1aLmL
EyeJrnGs8rbuEnweKk99WkheKRAIHwwOWbU7C/uih+WLZDEaxV+81oetrEIYHRl6ANwlbnRdUmf7
6VqxUeTJnG+cp9llNll4R4I//YwQkVoAWFZBfLA6MIQ7kDdgBslI6XQM3v3oNN5eyAkrQijGe/if
0Vk0U2YTs9bA/vV0Q6o63Stwa5u8nuYthvegvxDH/bYA++pwCmv8g5M1KKG0TtvvO8wItlUz488c
Dx22EKk8uNoOHtHWmK9QzVhvQqyl3rcTDest53mOI5mjHqLaLj8njl0mJPZ5hLNXEl/iFGJf2m2M
FAfr9Wh3ibzz1mHaThRiLly4TXtrBTKF2U67X+rAIfbHNlKImCJiMKQFR3NVHybZirO8tOqL2SYW
b6Nyemj60oPI2u+HtsvfZQmE6jyv9E0eBO6RQ0Lv2IBslgCsocL5+9ozHW4UrkCSVrnEds6pUBvW
Swdq0kDKej8/thkxCs7dHQHUUP5ICymMtlQ67bNulNSnmukR9eEUMmAZzdcaeTLvMPV+c3hKav+3
Yf1GwxrkA321/57+/78SWvCLvP/5v/gLwuJG/4IaQyQLTM/2Uez6K+13AiTj6T/RRSX5f8rf/8r6
aXEjZMCPB9SwEOMwmjW/s37BXwk0fEIYKIhO0LX6J1m/6ZX/rdFmXgfKFgGadIDQoJpoGn9/a9mQ
LC5VNdr+z9Re2/wXOkSxZ+8Ap1sdRnVD7i4fUbjIhoNavLKCkoUz7I8ZIef6ymkoorqH1uKA4HIK
gfwS7cccpPQyAKV96O0KmWuu/laucsMxn2g8+jzd+XrrlVglok2aj8p9R4+5DUjqgaFOH5DCgTJa
wroD/eUvUYbD8DoCTjsDt445MFFGLqIe8a2Zoveh1rlq4d+qlLLeG11IxzRQ/93Q8qmrEJM50Onx
CUD2/3R0GoXtzKBW8bNVkyZXrHBWpNXQ+55XXEeJiHjk7GR19auTfbY8+Ebdp9+66djzPbUzJfOH
v62t2+dn/73v/9TTffFKxAMgxn3asNSDsBp4OWHows1Vo/rkEcFyUVzjipg8OS121EdTS2aYrFRB
BgecUmIbjmR/yBkHm5zDrcDgUi0UiYNRAP0pba2wAlzjZMU/r5yZiv2Al8b6MaWlhhivhEMtb1Zs
tvmxKvIVaEk7USP+wK9/1MtuL3gNBhmFZ1BcQCcke+HlN8VpMSMSVdY/7QmRgPeizqzmviLGX29f
f1D0cj55EBEVyl5SGHkfnvfyQUtZddGKneEj2A3X8fYtPE8fM2ibHT57Qe6/m1QjjF+AFKU1bFsn
CfR9kYn6rYb6y9az+WSPxgmVPcDy1O9OIRQOxQic2XL5qFXYyxvq8jlOj31lcQtfQtVdcfh6/dv/
GGThUfMzjBiqiYzCybfjZ2hRPwm8H+VIk2zZdUsLJ4XS+RpjJfX6s8wi/Nsi5es4uHwHqggnH2Ip
JxPqgv4t2ky4jzNCmZn/06WYkaYXGOqw7qidmCEuF2mwb68/+M+PZA0hPCOR+gESfArqoI+uemh5
6sdMcIaNESWJEItW16hCvvGNzp9TiKwctWFKt6wohLFfLqYcKWj6MG71qEpscILzLIrrD6U7cEZt
B/reSftujtbYrq6aDESsvRc6LdaPuQra1ttUJQcifEesZKI7QjHEe7apNlhw7ND7cCEv8320RF8f
nz8mBoATHhUBeBF4T3/gFp2oCN3ZtesfaOv0vAVSbEX+SzsLlkVNU0k8m+JKQ1R8a7D+nBjjE+TK
EMwWYmynx1ZsGQRNL6zvhFaOC9szENmotkHYprhIOB7KpyVFJr8IviEDhRDCruv7HrOpCuUi/ZBV
64QBEjTSdfgOuSlHbBV65nIU8H3h7L8xSie1cKNdS0n2aZtgmAUm7GRuRTK1fTX2zfc0xNEY+9hw
GdZbJeeeRbUudrJozMNbJW8stC3ZTarGOsXa4nK5cFhGhZ8sP1iAVf5LojDPb4Dzjr8XiA2f6PT5
AKYFzukiZvqwn1USRfFTZlmwUqn+Kman7gHqDzt8QzQzQonKHNGWSoGeUqedy/AOA7Nh/rIuJoTY
dBR6GAsSW49DHs0kiaOy63eC/d2lUzbftlQmq59yAgDqIBweq/WW7R+Jz1inszT7tcl5R3S5Ipgp
DmSDz4Vq2rzej3Iu148rrTn9oPtO6nuV828mBIRzThDjsd4wZy6CsjwaxZMMU8EcCxA2ehzyO4Am
2HmOxit6QrLG/GPKXX5SgkTlRzIawpUEkD+nw90wBRWX2dLNOUewIgbGfjlPIh5tZVPEj6/eZJ4G
srPFVBEua/elCzOhz2Nfd9l16UOPPpvg0dXHtLOW8XKc0Z5ut3MYm5MP7oKzHEOtUi5LO0bhHKO8
MHbZbXjPGAPFxq/bojj//QEiH1I+tQ5s2gw7244tBlTYNcsPMxdziJVVYFtIkSuM2qmwBsh6kUq3
VF7/+h1di/DH3gNHgOIoS67B6o1mqmAMRi9bePTcwoa4xPKFb0qeRxVO08TIiZDE3QhskHxc1iSJ
+Dg6aWSe6FkBUdtCE5RhaZeg4/M46M1yaSJ8tX55Be1GtYcOllf3KN82lN9yz6gkblp4QewpXUdU
rSDkoXsCbmgGw/ELpTonxg84GYrQu7R8bCl/dNWsGcNm1nC7YRlAXYzfh6WNke4OGh5AqotY1hpi
cbLCXw93aFZ7/N0CPMd8RB4ho3TdebGuk31jITefQoTXnAL7fkVSpNrj/WLWL60Wnz8lodd5+jJS
2ue3NEvjsxUgv+NiyMwPSCBsehdzMeSq+Hr+5TTm5l38KIWlspVBwBakjlKwUrxVSv9cy9Dj9fIq
C03cFmsbbJFCn058hrjFH7aRt+DQsMn9yIxxh0F5/gtO2chwrmFg1lxJCOif58PsMz6JLc0SNaG1
fmjDmn92TohW/SbIB84GQkeI4nsfz3B9v/QLUvQoMaHa8y3vKOywpcFP8kt7WKrMhFDEjegytI6n
H4IMRRmQSPgpqOVcz7bKq2td+uCv9l2v0P3YrsRiZlV7GXWKXVtQQBPnc1iKGUUy+4HeeRbpHS0/
fMlQ2ihhPxykTemaslzrHYZiSXwaY+mK3Emi7Xa9Fcsys/xDhWuwv48qumc1gcLUyBsphDagF3tA
0GAr49zL3jUOEhxqQ6xuZrjOgEY4B5e9DPw6UzbykBvA3fQNt3MJzGQ6FrHCxhYWpWJuOh+movhW
U2fiY+o4XxKs5Cs6fYCLVBNRBMW4jQ7enoOY42Y/eEm+QJFvxyaKQDrIkHIRUlNDeh7jHyUSyP8F
x6z8scJ5gjrFYbvwzVEOGJ+WX5/OaZpcATUdnQDcOUQWFk+WmyMlGKYFH81iic26tMdZsYZiL+uK
5NgYpdb2QBVi7BGVEx5HperQw4JPVzAfFD4Rthi7GzVJlyMX56CRWaoRkOMuwAJz4nehq2hOwZHB
Z+XaWRsP+mBTweYnSWE6/m7oY3MuFbau5juEMExEmPpjwvHU+rNk/IbU4nTQjCJ7wXEHxYLSHVzX
5oLZ7xZsGNCp8c/DUq28OJTKkUf7DtCQ9sBxyXWklzbglq9ilAXUPvRLc8kOw9ixHGeJuAJqIGG/
cD7QhrP8dzOVODAQHFHCP287xCrTPSpy6NCtlWtCLNuaiuUHyDeykdUfTR7CqW8GZ2o6D1vgoudU
RfUwzSfPwjJjXft2E4ZesuviqY73vk0Z7X3c0YI6Zg2X//KkDssbB/lkMUqopgVs7BwIP4snpI3M
CP5e1sDYzN+h9+WxcNdsNoGzbMCytVtlhVxa+BzYjLEX9FE/UfYsE9ysAovi4LD1wxhkzWZKUQe7
wS2iplgbFf0AK3h1FvkVXaWyf29Xc/kQYfIAL7fvu6y7lHULwlc2emx/QGTApa1PKsu/jnlTbwsc
Juu+Zpy56wGZ6KZ89PNy7SGKyqr/NoEAnd6tkQW7brJKxFaQOphaKu5IuaCX1oFwR7hhmkSob/oO
mkezQS2hws+i5FpFo37QzrZjjijaYjTdrfRcak2BfYvCDNU5oIj9tCDYg5uHG23a3lqGL5HrjP57
WSLSltBwgitqutTuEjeUrvj+mHUaJ8PFkHKTldtgLaeVhnJWrnZ/iIG4GKHXBaFtORTX6NE57UFH
QeLtBAHa+oAiSNpw8ckhuFQLHNuN5w+uswUnFgGrwzNTRTt0RIJ8i5M1feJElMl54HrDrmtsXBVj
anX2mTM5qXuIW1qCAF2CcqU6FnvCum2LpvI/UArt8+bMhs7S4kBKaX5+mIfZG64tNdTWPcxUtX4c
kMQoN6KXsofxh7hRg8MJfa32LJwFKmqgtZHU2kEmKYuzOBvQ+FgbP6yaTVQ0nosifb+qLvzuUG6u
H1NoOnreFXJYup9RLoBcb8cAZjnMSSUGED8x9jXw1ApbYEsfozEsb0DNWwXWdbIlrE1/ptCY8Zfb
NgAY3GbniMG0oaU3eNBuqcZSLbz9HX3bCwAG5x5qbAPcYmoyc6G2lUdz+cO0iLb1d2089TFyYjZ0
luKc8q8gGotpRGNCCeSQ9Y9iRc42REzD+FGLiIOEzd2FJnzsucDZDqkvzQkHYN9EmEjcxpA4AUpN
wDr4sHYKj2uXWISkqABorh7svnNuGYQWE3c9W4KA33kYRWOiPzQ1TOYQ5A4AMFQ9dIVj7thVmfws
amWQW06LuEZ0hs4ltYZ27ATHJM1xInvTJmndM9+lU/8ZAX8TRUfL1HKW5WFmLg20EmI8fb0KuY49
tk9y9c4j3y0JiWqXPNu6qMbK5kOJS9AY2wpB05wDkVo2d/QEWZ3QBAr7wAC1dWBuzpAyM2/aJ2nA
s0copg1aQL5AjHLbIFLKL7PzJmYvKbpsvL+KcnNOFn5Q8iNu7kS8UR23yum/RT2mt9lZFGtOG3cY
e/l9mrq6QWonD+qrpKHHggNq25pYqm4DE7KktOcYI6AocnB+jZZCHHYHmFmPqDk7NXUDZN/imbGN
bGSZqmvO8MWESE/lHgk9ilvq9w3mOw3jWDS2qVjQUDdv73ixxUC2CbTU5mzJKpIOrAEZWI6Z3LzB
qKyU5fPXSKwdW2gzttgKUB+qU35jU2G74e8KB4Nf6KIgZRiyzCYOuBfVHIvPEDmoPT1PIxem43wk
/RuHh7CLYWIfvBz7B6RzlA6c/qaGlDWlBnZhx9EXXQQCc3rAu0k1XfiEo/phBT7FVzlra4pPfT/q
LL1oMW7kd9kDYk8TAk6LSeRDSdH+c0W9zpm32WT3wUCv0SVKgZRronmN42Avzu02UTq8BY/pNtmV
jEEy9OfLChJI7T0PZCywbbpq+qFEqIItQh/eFLzQj+EHYu2bQM0pSY2zzjELzItHXELOOjcAK7xL
nm/XVOuES3NsJgLVrefRUXmQXm/izUGa9RiXOXZhW5sRwKd9DWr+wL83P01U0q+3UxkGXJdOynu5
2zQNTGhYyDExwbzXmrd93h7FIJiXcpwaJrVHJmSorrzZA92uwwmixDnkxwJH7KpjLZS0hogJ8oPf
Y3KEc1PtRvV1NTkJKJ+kpCc1XvILKo+glj4rcztaGruOfb32fILd6swUK9A1yXcRaob6PgmirP+m
+zED4qOKsR04XJbJ9678yRmKGqkSl3WGso9JAvNWkLHZ+EMyIcqne3tL4sk8D4tYl6OHeOZylEG0
zPpsdr2u+KZTZ2ZQ4ufIRyW2JtZQTdjztdkcFQQGvzPicK0jAoM5ScCC72tAN/wpIWfp9yiYWvMP
T4/demtbKJpskd9MSUewh0kUkgSy9cYHuZbeaIHodhh/C+SBidkhtBCFIQ5mknzwCyaQT1o6iQ+x
ihNmbago6Da7GawVXki9FjUxSiSa9SOjbk7c1enIeS+6oK0nZfIHlpMUPJ7SXryaoxJpNC3PW3w2
hxTkwczSP3dCJyVVKULiqOetV+vShFalVaGxhHYoxm4dxAatzMKoJ1M/smJvMUsSD6Spfmf7M9RQ
BmQ1GbeIrIGBpBtmtjjZMmRridWMUUSe8uQsBro93qGItSrsMWanPA+VS07BxWb5xAfePGiOTugC
Db8m8oeesyrvahOJ0nLjFIfi+ZQ1ImkH5PeiAwDFIUXAP8qtonLllvso0SYLfE4syng1L92s87Qk
W3YZ/uubIVzJeH0d5ix0kiSb1T+ldc2UZgDSePUR1e6k2kPUjIcBggImatdBS3GEH1wXVtTiFubA
GphGC2mTQmVZjdhBplY6A7jwFN+8ZjYZ+vJ8ciBrYwLdyoFlUrxR4zqtB1IzgiGFxQANnQDl/5Oa
EQoo6CTSBvw+x4PJM3VqlanY4VrSlVDhoO4zpa8Xqk6rauaRpKeobPvG7uq0zrq0dR3agxy+CzmZ
7s3z0gALaCq7//RRgEOJcUHCuRTPT+2+XWSVgb57zffMj835BF7LQ6F35rDm7Hr9WU/VwL/Xj8Hd
UKb2QEOglPFnV0rZ4DinsvC+z16FWvNxTCtcKrcCPQy2YdpXCMCgk9lwaIzIluI5Puqyg0wIQpy8
myqE6WxEpLzm7Hk+mX/3Puo+MSlCHQjcZa8C2U386fXX/2NWPMrCBLbGMAETrFMG6NyDjkymQHwb
4HXzHlxQJi3kciWFev1Rf6w5MLvQaNDxjairhqf1bsKozK0JoL5FKU4Ny3m8hDko2DUwW0TGCUII
b3zcaQvFYWKgGuKqRjfBhSD3surdd8oLE+r33+CJmzNqQHJ3vR0zTvb7xAUYueziiHifYGLhzz9L
N7D7d5x2lXgGpP9XGurpMNM1hWprLBp9tptzuiJBn856ihLvKzUJUkeE86hShQg8cQL+s1HGfs3m
a/GC5GkUx056bgWBIa5EufMVzGFQXA9taVLzDJkXLvnUNVHj6w80RLm/r38XzwvKzjR5BR0+ykcv
B3nIw5XDZOm/9jV9onTfoxbEMcehuDCvcd/h9rxJM8QCoy0ohpSb8fUXMMIKL99AsoiNAw4gqoBP
d1++AVkill1tUOMtDPel3tPLwnecqkca5WfPYYvuUxMaY6Fjzu/fRXELTRPSi0ri8pheTM+DU+XC
lHgo/S/s4gbwOdnCWuJXZ2BZE7rTu9AbrBBDbacYOK2DSZjLEohEo5tdGttGCMfjdCIWGYKR4pEz
9TM8QV1QotuHBPPucJHRWgYR1hSWia2UVibssnq0sSkjZ525zmWbEdvAHTNXfIv9Aa8VPBfoFaE9
p2ZRuCZoykOk/rheXccEy3Fe5ZwkNrAVxj9M8p7KpKtnVEKPaY1H+OXrw3+6rTn3XHgA8FKRl/lz
aY9kFqmFIu6XJu08YtakHUwKFK2DiQB+l6xff6TZty+WHEdt9NSjCcECBKcuOTTKgBiqcPoSJdLU
GMcsksU11opuYd3YyuYNQJlHI0nU7MQmKLRKRPvfahSdfrnnSd/m5ITUzD/CU0pzDUtrYi7TLwVA
vOoyq/qh+uAWk9tfuWp4w3zldJF7BGeBR6VIeiH9SnGyyCWqD1naKvVVdwisfkT8xiyLPG9NZPX6
8LonW5rfDlMb7LMM6LyhHXISHSTTbJdlrd0PNXKr4S6mfDkkh4QyKplulk/cDhsa3hX/E1CwYV3O
RsOWZE0gnAOZkSD9SMpj+vfthAIZdQS06Yiws4QMBaoduyJt8tSUtWbLlAHCAQZZeqFDacrERUV3
5EFbjsfHWYXgLkoSy3SKHI25BFmVg7FPd2FZnKPloW5gNF6/Pggn480YIB0EAw+N0gCNxdMxECIZ
okqiDzpWubmZ44ZWBV7LU0Pm/PqjDJvm7+vZzCmHF3wZTLao65+u56lpqak6fvwQ+s3Ts0ZB6bRA
3sNcTRz1HEHPvfcSkA6jgDmgqZL+/lOvR1MhsCabwRV+YOqZ5IItJ51b4fwwXVhFPlrrlWKrQuLL
2qqYzhZvJGHaF3VMeozzrElLfjf+6BaZJpKFojx7Zw1t+CkH3YAU9TaryHkKGHfC4eC5NKGdydR4
LZGamcwdopZpE2gO/mY39JkpLP9uobEjWbs5PQ/uvRh8HL9wcaqJEsjrQxq+nL4gQPoqcG1o7Ehc
IKRzOn0dX6BDkHM/Su0Fn/O+Fu7BpT16js1e61PjT4dD4s/RcQmzMt61PmKMlVuUHyHxG0m3EBPc
SMHijKzFCAGmQ/chJn9Vt6i76nSbhto9z6L8rqLV9kO3vmo3skdIfEsvR77TIm6OKcKs19xI6Wqs
AuDjWir3Pq30kfVlDIdEIBEY2T4WHaL4aK3WQHKAWh8Yx6i/9bmVMIRAuPw6WHq9G9ql29MTLz+m
9PCRC3bpEuTtQDmvKSZaeINTfgU1IY7L/KQivXa2A7O4Dx5c7udvbdo4Ary3TClhJEqduYhxPOBT
MX7MPC8FB2Vbfr2zqNt9geWI7r7V9u+lj94ptanxPJ/H/ECbYGm3Nf2ieTtPUWZtRr/Sl2Xd7Icp
0hRs0jz/NOJ0S9U8RkJvmPrmYc1HSmK+Y6VU+yx/a0v7zh8W+7u7DOorEmMIBI1i3KazrI5FoLK9
ny3ZG2Y4Lw9rFgRtZQ4zQajguwQKJ2daQ/kn6ERSPzJf8y02JDXKpGWD2IXsbfnhjeX3YkM/PywA
KGeueWK404gkXn1Cuz6qH6UdVGCEZvvBqamvbqqquNa+N5L/JU11R4swKN6Ix/5Y+U+fCVaHlg2H
+CkObBQKnRPoII9dXZO4emULCLvyHIBvr3/k02/69zX89JUoMoPPwayPC/k0iZxxb3U1WJlHB5qw
Jv7gutg0JDzZDreV4L52q/g+U7GFzmIponbn6TZDcyCDLTdjbIAgYDbId73so8sa69QP3LeKOGks
B5SpCF7coa7wFRgc/w7HpfpXBeb5qqY8e6fdxf0U5eSpG6dx7HaLQfY7r4IhC7e/klRvCnpxiIBQ
WOuj5TFvkoFWwtgfnETY3+x5QCGb+XsjFjoB4TEkJgwgDGJcPO7o05DAsQI1++GyPvqjGfw089Iz
r8nL83mdv9VOVH7xrGjejW5C06NDTvrch7Ve716fGWEW84uZCQxYE8EdF1II1/hJEuAUcUX7IA0e
k5HGAeW0vtjMITyXHQJ267DTPjTFoBpwJ4CuVNHtaarzhrrVNf5BetiUQWK9W53EP/dWaISwFqOv
MFcwLuoL6zoDaXy1eMtZ7VXeAzXQ8l1jMWlYrHfzsl2HmbZL3qh4G7RRcE/YqJsD9Ixfi8yzGy9A
T7ygUnwODah9V4mhNMJ3avy+lOn4wRZucWfVIReEnJ3p4LnDNG68PkseJsR4UX3oMAdBN8OBSj0k
tACCvMtphHAnvveFFV5l6eJ/QuYCnQmaDmJ+Y9m/hCUxxYwtUsmEvZJsNjg1ghspCTPvQfzYZb64
sfCY+gjseUG+q6vtG2cyhM3Xp9N5CXx9eiSxASmO46JuCVyN6f4b8BWafNlXXJ0/8zb3LymbwQuK
x8U6UqjMDzQiBk56zKoeW88uP2bJPFxlWWTfWTryDq+/i/xzaRFqcnw+iVNJ5xQM2E+VUGGCEHYy
02Agb2/ir02/pnrXGQZaZ7sFFY6qQX4BLft02cGnE+cpcNgddZIowrjGQte0b2TwOYMkZUq/lNBr
S6XXhczUOdIY840c0wRKUJD4G/TY3WmjcPJ5knSroPo5YbMNEetvzyyG5ZAXg3WNsrXRfJsC60qq
dLnFvJ7rLMeO4JBM3N4QOLLiqqLNS0TpVfBUy66sgZTA5dxrmp4fhSY1JRZR7wekQmDZlV6P9QJw
GVYi7aItQtbqFtGdmpYriDpIrTN9pQEFkAQSR9BeT3CqYAdmrQRXG7qNcwE4ZerPbDToP0Hizz6P
SJD88jM3o9SDy9lbha8/zx9YY5hRErtjxo542Mkt57l0QhEPKX7CzraDTTQhbwvKY6FryJSRUwWP
qxrjC1lb3xedw3tAYrSt/gcLNjQQZK4+5P2oDbxcsCClFGKsQfkzriQm4U8TItcxLSHIyeFgrzp6
6Pp6PCwyjfdtFM9f0rBHNDdFBfbh9RV7UqB72j2hb2rLHB1gLU8Ru3BPJ42Cdv4zCWz5vpOOundL
eJMBhd0j9+J4M5bdcNnCbr1AK8y5HuqAiywoh/k2wysOQHI96avMGr1fIOc7sQmxenn/xlu+zAHM
W6Ia6Qm2OJhpksqTIcN3b6mizh9/UvXukg9EFgKaresvm1HZ+saVuqCnpFYZ7sJeNL9SbBQKlCDc
djrzgkZ9FFGZXNnBVHxwe3+kQ8ItgCFEXzLcSR5s/Y527/NE/y/P4mFpf/7f//PtsUKEKVMkKT+G
l2oJT16K/51o8SlTPxqaxS+9nuXTf/WbbBHKf3E1u4SlLul2iDLeX2QLK3L/BdcBcHnkk+wH0iSE
f2ksoA3K1vJDNM5MHAul4i+2hQ9Fg1I0GY8ErANi/B+xLV5ecwDJKDeQObkUtcHAAkp7uYXJrNJi
RAfp2XeKoG6+FQ7GIeuyoBY69Ligvb4D/tMD6ZpCF3FQUZUOH/b3S46Gs9u6bSWOlNppMGq0atYI
I1tZhtCJYPi9UVB5mRA8fyB3OONFGyT8o3oT5RLqOLf8MWhS+S2PeMCTb5US+i3tu5d7++lRTDVz
TSGauuxTAfNv93efTmkyFo5/LIwdXxYAtaT0SHwo3QSDlRV7vqDIsS4xnm2vj+p/+EpWEm7iKOLh
qH1aDp46GFq21ftH5eb+RR22Do68ojbq6gnebq8/7CRQefpQ0wyBJERdjnbPyRzO9P6gm2b+ERQe
DwpazIk2dNHxxdJDAKGxxpEzvcT9AeezpU+1+gwiAEjfXGY4HEKM/keqeeaF0Bwh3QTgSX3FP+0A
5E6K5V0S+8eQaAA3sgoxQBtn7bP/4bOQ8hVYJNPhgu/0cgFTHrNLhHH9o6cmrAV9Sz2iYTDfj8Zh
6/WBNuP47/j++bO4VX0hAshE3GsvH5UNAKUQgPKPOk5/KVdFe7zM3mIU/bl0kCWVZBCMoZGBOZlM
Mi4/GNzSP64AqwG4aHzN6EhbW5AzSPu9/kUnkcvzJ3mELBTdfIbwVLUxjAGOrxT8jjnBESYHxjcX
5SGMuMpetV/AxmKOJhc2qfGeXtLBu0h07L1RN/oPK1jaPsce0BD+zx8to9h1APbSfj7O4eBeekWN
QkpnXJJaS7FC8UCr9pTdeyCH64ip+dPmFcYMnRPkLQbEf5oB32TWCLX/f+7OrbtNpFnDfyXru5cW
IMThYn8XknyIHTuJc5g4N1qKrQACcQYBv34/DSgxspOZPZ0L1mbmKrYbaLqrqqveel+KG6dJLD+w
UdrwYzYvZHB3UEYTAYTIBOtx+nfNKC/dyiC1DOoC10K5ariiqtgCJmkms2tvzvTatsOWnQSCGNoy
+BK//9hDU4/55nRKqGnreBaOEqc3A2OAOEUST67WyAU2kK6nSE6TqLhvDlb1roQDz/o7yzQ0weKW
8GbS62PQv8QHPk2xxn5DtkRFUEWB8uBCB1QNeAlYyp1xmCCbnq35rq0wGI3lCAw6bKk9QsLX5iSE
kBJ1kuSyEbpZrQXJW9XHukFYcbF2kVmBOQeKxt9PEi1Pg11OohZECSpBc7LPlBpwjcNvAj30Tq9o
lL/KAmVPFAelWuQZk3NHBdACpm5Ppm+JblgarZcRhQDjTGWw9ymosf1ZvQviDO6bNR9yTTL7sYFB
9rHSfJZuJ3AnaoHuCpEoBBnnKopvKDMgCdrqnwVGksJexp+RHJu9NsEupOjGaFCgabvkPofe5tpy
9NlVumMCFzXSb+9gs6dtwKBU95nOvAkndXudqJdqNmfozHQhjSNBY5COSGmkWDhAc4yLIEy4h9Cq
bA8JSWKh66OXOoc9WGGQEaJMQPVLV5G1p6O5uZigvmVc0WoQXWe5s0eSN1VD9woWgPwRQenkHjyL
Fl+RhKrvAKsgH6vlk3LRxL7jfVVp0QQu08wMGuMPQCA+J5DU3Ye5b2woy7Hadbh/NrVK/jNTY+Gh
SzRc97WvPcTE2pdlYiZ3qZHvL+bkvJem5+jlAvtbzhfkmvAwrRAplQo2aWUh/71GsXBW6dVdgHL4
51rXvIv1DDHYNANv0orVwTvH/NiHtXmXZQ6ovBJ6u9jW+U4tR7tapdmjv3c0wUia22dNtlZnS6tO
UUig+GOArqlnr+nnYpS9UOBrcuYNuRgU2lovF+KpEXowAnLtezfdwYRcISAALJKVrbsGR4w9XEPm
lSsCkwmqCu+cBB1ehfbNOx9h7eosUCYoiLZaqUCKWTWw08w3puEzm3AqxTQDRVYdLiF/NI2rVlVu
gtRldpHR5BJc0MbFw1AC8fdnAJazRyMCb8IKdmrnbN9Y6q07QQN7Vc/3qDOuI4B+KxM1CGA3rRQK
IEPWMr0c9udMQeHlwsphN4ZAhi4h1cIX5bAeVec1HQcIVZHqny1jtFVuOIHCI6B6qLmXNPJtDLew
NZihUjugyV5NPzizRrtsmgNSOhpY9K9hWYYfrcarb4IEEpQE+k1VQDVVixZ/Jb3ygghO+kCoCmdB
VYEsaqJipdBKg1Bn4x0WlAlDfwFesL61OJBe73U3imFqJ+8B+QfURWD9l3As1x996ptnReTG8ZWv
CG0I1iTdQpAjvM/jzAIhui72aAem+XdLbxCm0czilmbRAgLNagfJfeFjmZaNEHg9KDGqHfmkjr+A
g0qzcxRxjAcI6JEugcr6DarnqXOuiGQE6kOxt1KhQbwooyK6tUFDHdAYytyvjhDjRnUEliJICy6Q
JF5fq3VuJhcWzQL3MWKbkCbEzVcY/KOrmb6Ho4okS/M1DBIfzgE65TKoY9IVQPVySTtQ+JV8FXBH
ZOYziB1T80IEozBlVEmmrVIaSOkOcWEGJng5RxUjF4YJQWC4O+8KWEJeh34Sv96lbnZez4t6u4ak
98ydeJP3tR3tv3h+qS9p+sgXcUg+ZQeafwFNw8bMdfYHmrcr2qTcZVGm6vkeuoRdak2QonUVzP9s
Dd2on85g+zBMpKjzpS+opeaLFA4dh4a+DMHnN0S6sCDP1Hq+omEERtj1mhtRWV6vaHWAk4bC3RKE
l7tqohqKrH1UfIp9I4mXZZid0z4BWYarPARmFn2xA09DWUqtzjPgcKsi4Dnootu/xys1HOQx728M
PTksYkfhi5qOtntD6it8p+RF/C7I4ARbTgwisk2rIDzRdmyJTKg8n0Vxru2uaRUWjCHg4RKYUbCG
TqpgkKLGVj/WSsOSVfLS/pyaReWcgaQDoAwcrqKHJ0oU5ORR5W6W2nwS3a9VvaLMhfglqPz0Ejg8
/tgq5mvkjDUdWrw0EKOpVZxd+F6OCcIaE5gJjYgJ2NrbDDTDfmVAUPdRVMaQgXDnyaVe6bsK2Cc6
1HHMshXcEoKmD9nOey1KyPeVLvJMKjyYkaCYzuL9V/hYrPh7HZc6+TIzh1wCtNBZuNMP2711SJzl
3J/M/7KNtf06de3sEqwrXDxh5Xgwk6k791tW5ptdPIfkAzSys1zXmI8vAfxkkw9eA17y0tJc6IQQ
zlwaAR0LLnDoy92EbogayMenxnb2pNFM/fAJ7r79neHE37Wg+VJBuvzWzzU0LI2ANKhmo4alF7H2
6OSu89h43uGDU5h8OXb87iwBfGHDbW0eAIqIfsNFEmTmFS0sGRDNQxDDVmBgx5c+EjKHy9yulGud
/ribJIOkxGhoOaff2i/gyeMr7OA2Q3B6EpZVeIb6THBTpan+tvGa4G2i6sUdTWPJMo1U6KrKSXAG
4c3sW2Qb5XVuxNCfzNeaZywya+Yt4UJ0F4eiOdgLOKoxF/Z6vtrtLf2qPpTf1nAcfDjkjv9eLQrl
hhz8/Kt/MHxnmQageXRA06ig1zPn1kY/8yYFBXA1IedoLNzSyTaad4iv92DCzkJvXlyjgoB+nJ5n
+/RCxeSdTwhmy1Wlatp6AVLPhCsoCGcfDT+OL8tw1nyIPXf9RqmL5n3uKrQ8lM7hnjpDAjdUlune
VeVV1XyJNtAEAMH6YPm3RoWO1oXtFtklp9zJm53ZRJ/Qx9Ds5cQv9qFg1FHAarJ4bg94+O9qmWQ3
RRyD68URXoe7bB+sYtulVSwCOgJxcJBc+DqCG8uYyGKydEqzfO9oJew94W4NmSkagem9T0EJtsdg
/qbyNMwobIs2Uj9xGR6owafFmhpMpN3kZt3MF7VN592ZFZg6BlE9bCPNKNbn9iRpzh1Q8K91PYEN
NjCaS/gLvLtsryafCrXOPpPI1c/KCg2XZgfBDEBefaErKOBCXLYzKfYeTA+NxMZ9hDYYP5QryAGs
J6UXrHSm6l3ZcE4JA0gsl3Okht5Sxqg+KelhgrwRDWsLjy7Gc2syS81FGIfz8yQzUWSMNM/OLgrW
7nc0S6u/YqACD4c5Eo0HIze8cyU26I5GBxsB5h1d+yldtFCnN4JmaZW6TV1cmnn8fe5WzjsaAyns
NKTcrmaHyo0gBQ4TWCu9pKYHKE0RQwvTt5MAiXhNMdb5ygbIfeU0dUUrDP2F4IULPbeu/UJB0F03
yy8u0vXF0nSa3VuKMuTq1zDmvQ3tgHoUjDuT9y7lkiU+O1N1+NMPQVV8rtykWuvdCfb/TS60fxGh
WnoW5l5evy+2aX23zdgx2VFfSPz0XeSF+cfo3/3S7wd69ZTF9iEqwlw8AarUgzypJhJkg9xq+0jt
8/5uhACQal48krid2dO5wAOKtH97zf7zKojg0O9+PLGRagIYTAEPJg9xdTd8MkW/moTfv183m7//
ncEb/DLDDHMKR9h/MgknQ/ycBF2dksKlqEBVob0oKz6dBCh9Oq1ZjWQAdxrR28OlxsNKvT3iuGT/
ALnDIdFeTOfTtyfHTmaFAzH5s/Ya3yQoCstWbhL4xHSLA30G4vf07UXxQSerAFihmx17bEsAvhmb
h5Z6fX2GdjKpaPu4A07MANRVpNWos5CNai+yXmPbCHq3Ljuk+Q/z/NwW/tIMsBFaIBJ4oO5TnywF
VVWnrBFQ3GQ8xdXtvBFZA7oSLNmlMLOmNkdksErDjWAaU5Oaq/3DE3RbbkRvP8d+Se6DmTnV5jqp
T7Vf5yeegBaWKcdMARgg2y+use0DWuylHQI+XwHXrAm8WnudrIT5FIo5OoFU/Ia4xucQbAiqZJeC
gmY8HEEGVrG7hrNgq7hN0Txliboo1/gio7YWLeUXhDGgEWlOgae1eMLkPfWO6OpNBU6aAHFsGwG3
OJP2CDa0jLS6UN7vvvFJaESnHhoPc9KBFI1H6RHotxCYWqlFoFnTOeBw2CS7SRBG7+kiQOhCqFVT
M6YBQlzjWwsAJWRnYSb0JDGLCOX118ks4BngQhOl0G4WKFKNLETiwf7hefHXMRKiJmA6LdEH2V4n
BsFCq5NCLDX9/rAwurVAp598pIhYadtdxPZ6aRY4NdNRCKIdMGp7dSfUEcVKgkVBOk7A9s9E3fVo
HU/iZdOeqjQZAirpwmWB2xrZjoATUDZO0PUp0E0FeHNvHp/5CB3DwDRRvh/f+1Nbk/QOujKlSVnk
iPpT06l3YBXQwwwx6tFwjm0WQN+KU7+UjwRSyEangxq90fbC3Tz1kSDBp7hQQgmlDyXGNgt8JEva
R8KKzS6A3vqn9X86CyRTaIA2gRH2PnKEO4JOBfm1oICXJKnarwVMzNNZsGfkXDlYqHBzt9fo7CLN
X6JdQWpHcJRGgNmy4TL44QOfzoJpTcGAK+g09z8fXaRAwKtJ+0iL2FgQhAtQmrhO4iXbwnuQYees
0s1St/hGFCmAp5L2ERwjya3S+E7+qL1OIgULPTwoKBA97+OpEa4FOkX+wI7QhGgA/Y7tdRIpWHOs
owlSXe3PUaOzjprIkUvOAsUWWDA0G6T1i7MgUs2AWhWRaG2v8a0FGgZk14I+RwtCJJOf7Pun1tGw
p/QS0JZEe3Z7jS67BNtBXw6TyLjPKa6wGZQ+fSIO6U9ngXhBcPaLjOsP6zmuEwTwZ71boP9+Fogd
eUHRj/JylokdAfk9Nag+MhmRc9BIiHfRi8TrU38UzXh4h26pPzeLpihx0Tvd/Xx04ZJGNUA2dNbF
Um+7w/vQ+TRQ0IUuLDlNrbvTqBYBgZ6kVyBCIFDk2ACPSnudWAJRhMYz0vXQL4Lx+UYYpGSjRXGK
nNl0kh3PR5iWp/bQnOM7hbDAsUI5wq0AoE5yLeh07gHFoAnr5fMTVCWEk6w5GmDaW41pLxDeSb8/
ERAVxhkF95f3gj2lMGWSa+jhKqNbBSR7dOm9YE4F7T2Hhv58eHJmgIKPjArJ6KPJ6G44prUAyZd0
LoHsGscim0avF9eCSXKRkgTMhJ1vHF8VkkyzaIiTyiVgEXQS7vQmwmbWXkO7yNyQkBckMsdpGJ1d
4FAn7SP1KW1g+EC9twsn3gFqtSnt8CwXa3x7QaceK7sK+MjA0PALL8fJ1CH5CWkE/SeWcWSnBQqE
0qcFBdwBCJU+THyWUTLNKSpolkg4dVulS/CPyS5y5JOdhRm1JzjeybJ2ZvFZXo3sI1tBQXfgh8UY
2VrQCeNkd8SMeJGmNIAeP97yabzY+UiCBTAaY7OINJiKrnc5v4D3wyOQre7X+vPak0kZFmDYWJEJ
FKNFg7fULMxYBQqwPA7j3WY48QtkV+GWwSlwWG+v8cWLzIJ0HRLvSFFbB6faveVpvEiMgA/ijN2n
MEdkEUkFat1H+fdpFJD8EAkJkG5vEk9O0C161QSvphnj+/7Ac2SjI+rwCkyC/Hey/EHvwyhCNzuR
UXv9H1IH/2CN/OgIWbpe8Nj2gnjb7KWWkV/9wrEL4vnP+w6I14//8x/R6jH4RUG80937Z6vIfwe4
nbZP4ckPj30L7X36P+9f8PmtB/c6vtXxHy+9bbpJH1ykGUR/TP+Yt5s9HSUoJ3/b7DdPSYAwS3yT
n0/yjC/oh/n7m4FflmRun+FFHqJ/Nm7qwek1fGBoJP7AA6c+Omeb7DiS+Ixdv4bsVCw3gfc9SkNv
8NQd/ll67CiI0s1j9PSpzRZJKj8yzGkPufdQ5IPB2wYe2cFX22Bz2KTbpyN3WGjpkXtaq1fR91fL
KCj234bTjl4sHlz2LufMuvc4+J49dlN25IttlDrDRyYuFEhA2ZEvmXHPO47TLu9ZS8ElO/Drx407
WIBqB9SSHjcIvDDyhjuSDBKxh/TQ4aO3ObEiHaJGeuToMFwWsJUS28gOe/3cNnV4B+mBGaB48Ovj
I7brQuTpjv/w7031m6jwsmfT3IH9ZR/7ZuOFA+tBuUWUeeXHpZt5Ez4eR2qdedenIz90lm0eaNHe
5vlgTfdVSenxvQfkJjbDltOu4ic/NL4gi/LByu7raPJjZ5nH/3E8sE2o0Yv68p8YPSrS06FFBUx6
6CjMT2yIoH2y5Ue+3X5LNyfRE50rolQh+9C323Iz9Ft954X8wIdXl5t9nLne0K0zvmh4/BPjX23T
bFsfx2q3Zpe0/xOD32wr72HgxmBAEVngPzH4fZT6x5H65xbpJOmhozR3Xy03aYSnHG7ODjH+Z26w
2vine78rE8gO/9b1hjPe5Z2lh/UDIpLhqQZ2fJHGlB463TqnXf1tZlB24HfbMMzqoNycHBOgnBRJ
aNnh79zocfvqdfbMt3UYMdnhP0TFLxZinzL7Mzd4vhDF8H8gHvzI7G+RfBiEFD1mSvbRP26r4amy
72mRHfdTvnGPC0PYlD4tJTvs5226x7MNRu4SPtIje5xsTpZ3j12WHfqvDX4HRfvh1uwL29KDb7P8
1eeXHr4D20qP/ztSZcl0yV91BNezM/iaXQPF75/6pUzTDyqN5/mnI0HIS382TK6J33gItpv0v/8L
AAD//w==</cx:binary>
              </cx:geoCache>
            </cx:geography>
          </cx:layoutPr>
          <cx:valueColors>
            <cx:minColor>
              <a:srgbClr val="269999"/>
            </cx:minColor>
            <cx:midColor>
              <a:schemeClr val="bg1"/>
            </cx:midColor>
            <cx:maxColor>
              <a:srgbClr val="FF505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A$1" max="10" min="1" page="10" val="8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99059</xdr:colOff>
      <xdr:row>10</xdr:row>
      <xdr:rowOff>22860</xdr:rowOff>
    </xdr:from>
    <xdr:to>
      <xdr:col>16</xdr:col>
      <xdr:colOff>396240</xdr:colOff>
      <xdr:row>33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8AA245FF-EB81-4BA8-BE90-0A3681ACF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9579" y="2080260"/>
              <a:ext cx="5791201" cy="4274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</xdr:colOff>
      <xdr:row>9</xdr:row>
      <xdr:rowOff>68580</xdr:rowOff>
    </xdr:from>
    <xdr:to>
      <xdr:col>8</xdr:col>
      <xdr:colOff>137160</xdr:colOff>
      <xdr:row>17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0C7E5C-C9D7-4FCD-BFC8-DDC27BB96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60960</xdr:colOff>
      <xdr:row>10</xdr:row>
      <xdr:rowOff>121920</xdr:rowOff>
    </xdr:from>
    <xdr:to>
      <xdr:col>2</xdr:col>
      <xdr:colOff>30481</xdr:colOff>
      <xdr:row>35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20B6E5-83C5-42CB-9D9A-3D4122385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214257</xdr:colOff>
      <xdr:row>1</xdr:row>
      <xdr:rowOff>73510</xdr:rowOff>
    </xdr:from>
    <xdr:to>
      <xdr:col>12</xdr:col>
      <xdr:colOff>1150620</xdr:colOff>
      <xdr:row>4</xdr:row>
      <xdr:rowOff>73510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9BAE26-176D-34E8-C744-55D32540D9C6}"/>
            </a:ext>
          </a:extLst>
        </xdr:cNvPr>
        <xdr:cNvSpPr txBox="1"/>
      </xdr:nvSpPr>
      <xdr:spPr>
        <a:xfrm>
          <a:off x="214257" y="256390"/>
          <a:ext cx="10118463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What do </a:t>
          </a:r>
          <a:r>
            <a:rPr lang="en-IN" sz="2800" b="1">
              <a:solidFill>
                <a:srgbClr val="269999"/>
              </a:solidFill>
            </a:rPr>
            <a:t>wage</a:t>
          </a:r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IN" sz="2800" b="1">
              <a:solidFill>
                <a:srgbClr val="FF5050"/>
              </a:solidFill>
            </a:rPr>
            <a:t>employment</a:t>
          </a:r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 figures</a:t>
          </a:r>
          <a:r>
            <a:rPr lang="en-IN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look like by industry?</a:t>
          </a:r>
          <a:endParaRPr lang="en-IN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525332</xdr:colOff>
      <xdr:row>7</xdr:row>
      <xdr:rowOff>86286</xdr:rowOff>
    </xdr:from>
    <xdr:to>
      <xdr:col>1</xdr:col>
      <xdr:colOff>2621280</xdr:colOff>
      <xdr:row>9</xdr:row>
      <xdr:rowOff>68357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C40E5D-A609-A569-972D-8EC6773176B3}"/>
            </a:ext>
          </a:extLst>
        </xdr:cNvPr>
        <xdr:cNvSpPr txBox="1"/>
      </xdr:nvSpPr>
      <xdr:spPr>
        <a:xfrm>
          <a:off x="1096832" y="1595046"/>
          <a:ext cx="2095948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IN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Annual </a:t>
          </a:r>
          <a:r>
            <a:rPr lang="en-IN" sz="1600" b="1" baseline="0">
              <a:solidFill>
                <a:srgbClr val="269999"/>
              </a:solidFill>
            </a:rPr>
            <a:t>Wage</a:t>
          </a:r>
          <a:endParaRPr lang="en-IN" sz="1600" b="1">
            <a:solidFill>
              <a:srgbClr val="269999"/>
            </a:solidFill>
          </a:endParaRPr>
        </a:p>
      </xdr:txBody>
    </xdr:sp>
    <xdr:clientData/>
  </xdr:twoCellAnchor>
  <xdr:twoCellAnchor>
    <xdr:from>
      <xdr:col>4</xdr:col>
      <xdr:colOff>2108</xdr:colOff>
      <xdr:row>7</xdr:row>
      <xdr:rowOff>86286</xdr:rowOff>
    </xdr:from>
    <xdr:to>
      <xdr:col>8</xdr:col>
      <xdr:colOff>15107</xdr:colOff>
      <xdr:row>9</xdr:row>
      <xdr:rowOff>68357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5F1ADE-AB5C-5103-F395-102F44896926}"/>
            </a:ext>
          </a:extLst>
        </xdr:cNvPr>
        <xdr:cNvSpPr txBox="1"/>
      </xdr:nvSpPr>
      <xdr:spPr>
        <a:xfrm>
          <a:off x="4924628" y="1595046"/>
          <a:ext cx="245139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IN" sz="1600" b="1">
              <a:solidFill>
                <a:srgbClr val="FF5050"/>
              </a:solidFill>
            </a:rPr>
            <a:t>Employees</a:t>
          </a:r>
        </a:p>
      </xdr:txBody>
    </xdr:sp>
    <xdr:clientData/>
  </xdr:twoCellAnchor>
  <xdr:twoCellAnchor>
    <xdr:from>
      <xdr:col>4</xdr:col>
      <xdr:colOff>4349</xdr:colOff>
      <xdr:row>17</xdr:row>
      <xdr:rowOff>137160</xdr:rowOff>
    </xdr:from>
    <xdr:to>
      <xdr:col>8</xdr:col>
      <xdr:colOff>12866</xdr:colOff>
      <xdr:row>20</xdr:row>
      <xdr:rowOff>39445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17604F-129E-C4F1-C716-48CFE10B863A}"/>
            </a:ext>
          </a:extLst>
        </xdr:cNvPr>
        <xdr:cNvSpPr txBox="1"/>
      </xdr:nvSpPr>
      <xdr:spPr>
        <a:xfrm>
          <a:off x="4926869" y="3474720"/>
          <a:ext cx="2446917" cy="450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269999"/>
              </a:solidFill>
            </a:rPr>
            <a:t>Wage</a:t>
          </a:r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IN" sz="1600" b="1">
              <a:solidFill>
                <a:srgbClr val="FF5050"/>
              </a:solidFill>
            </a:rPr>
            <a:t>Employee</a:t>
          </a:r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2</xdr:col>
      <xdr:colOff>566278</xdr:colOff>
      <xdr:row>27</xdr:row>
      <xdr:rowOff>144780</xdr:rowOff>
    </xdr:from>
    <xdr:to>
      <xdr:col>9</xdr:col>
      <xdr:colOff>60536</xdr:colOff>
      <xdr:row>36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414040-E739-45BA-81DB-FC5460E65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580107</xdr:colOff>
      <xdr:row>20</xdr:row>
      <xdr:rowOff>167641</xdr:rowOff>
    </xdr:from>
    <xdr:to>
      <xdr:col>9</xdr:col>
      <xdr:colOff>46707</xdr:colOff>
      <xdr:row>27</xdr:row>
      <xdr:rowOff>144781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58A6E17-7F63-45AA-B158-3EF38664D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304800</xdr:colOff>
      <xdr:row>10</xdr:row>
      <xdr:rowOff>137160</xdr:rowOff>
    </xdr:from>
    <xdr:to>
      <xdr:col>8</xdr:col>
      <xdr:colOff>464820</xdr:colOff>
      <xdr:row>15</xdr:row>
      <xdr:rowOff>22860</xdr:rowOff>
    </xdr:to>
    <xdr:sp macro="" textlink="'Data Prep'!I19">
      <xdr:nvSpPr>
        <xdr:cNvPr id="17" name="TextBox 16">
          <a:extLst>
            <a:ext uri="{FF2B5EF4-FFF2-40B4-BE49-F238E27FC236}">
              <a16:creationId xmlns:a16="http://schemas.microsoft.com/office/drawing/2014/main" id="{BFB6B3AD-1B99-1BD6-6C86-3B095A5BD7D7}"/>
            </a:ext>
          </a:extLst>
        </xdr:cNvPr>
        <xdr:cNvSpPr txBox="1"/>
      </xdr:nvSpPr>
      <xdr:spPr>
        <a:xfrm>
          <a:off x="6446520" y="2194560"/>
          <a:ext cx="1379220" cy="80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EF9216-F8E9-43FC-BF74-935C5A805CDD}" type="TxLink">
            <a:rPr lang="en-US" sz="5400" b="1" i="0" u="none" strike="noStrike">
              <a:solidFill>
                <a:srgbClr val="FF5050"/>
              </a:solidFill>
              <a:latin typeface="Calibri"/>
              <a:cs typeface="Calibri"/>
            </a:rPr>
            <a:pPr/>
            <a:t>17%</a:t>
          </a:fld>
          <a:endParaRPr lang="en-IN" sz="5400" b="1">
            <a:solidFill>
              <a:srgbClr val="FF505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5</xdr:row>
          <xdr:rowOff>0</xdr:rowOff>
        </xdr:from>
        <xdr:to>
          <xdr:col>2</xdr:col>
          <xdr:colOff>304800</xdr:colOff>
          <xdr:row>6</xdr:row>
          <xdr:rowOff>0</xdr:rowOff>
        </xdr:to>
        <xdr:sp macro="" textlink="">
          <xdr:nvSpPr>
            <xdr:cNvPr id="4101" name="Spinner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548640</xdr:colOff>
          <xdr:row>7</xdr:row>
          <xdr:rowOff>121920</xdr:rowOff>
        </xdr:from>
        <xdr:to>
          <xdr:col>12</xdr:col>
          <xdr:colOff>975360</xdr:colOff>
          <xdr:row>9</xdr:row>
          <xdr:rowOff>38100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2072640</xdr:colOff>
          <xdr:row>7</xdr:row>
          <xdr:rowOff>152400</xdr:rowOff>
        </xdr:from>
        <xdr:to>
          <xdr:col>15</xdr:col>
          <xdr:colOff>190500</xdr:colOff>
          <xdr:row>9</xdr:row>
          <xdr:rowOff>7620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131781</xdr:colOff>
      <xdr:row>7</xdr:row>
      <xdr:rowOff>86286</xdr:rowOff>
    </xdr:from>
    <xdr:to>
      <xdr:col>12</xdr:col>
      <xdr:colOff>1638300</xdr:colOff>
      <xdr:row>9</xdr:row>
      <xdr:rowOff>68357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362FBB-44C1-9EF0-03A1-5383098AF11F}"/>
            </a:ext>
          </a:extLst>
        </xdr:cNvPr>
        <xdr:cNvSpPr txBox="1"/>
      </xdr:nvSpPr>
      <xdr:spPr>
        <a:xfrm>
          <a:off x="9313881" y="1595046"/>
          <a:ext cx="150651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1">
              <a:solidFill>
                <a:srgbClr val="269999"/>
              </a:solidFill>
            </a:rPr>
            <a:t>Average</a:t>
          </a:r>
          <a:r>
            <a:rPr lang="en-IN" sz="1600" b="1" baseline="0">
              <a:solidFill>
                <a:srgbClr val="269999"/>
              </a:solidFill>
            </a:rPr>
            <a:t> Wage</a:t>
          </a:r>
          <a:endParaRPr lang="en-IN" sz="1600" b="1">
            <a:solidFill>
              <a:srgbClr val="269999"/>
            </a:solidFill>
          </a:endParaRPr>
        </a:p>
      </xdr:txBody>
    </xdr:sp>
    <xdr:clientData/>
  </xdr:twoCellAnchor>
  <xdr:twoCellAnchor>
    <xdr:from>
      <xdr:col>12</xdr:col>
      <xdr:colOff>2257761</xdr:colOff>
      <xdr:row>7</xdr:row>
      <xdr:rowOff>86286</xdr:rowOff>
    </xdr:from>
    <xdr:to>
      <xdr:col>15</xdr:col>
      <xdr:colOff>434340</xdr:colOff>
      <xdr:row>9</xdr:row>
      <xdr:rowOff>68357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8790767-6783-3361-7121-DCF307D8B647}"/>
            </a:ext>
          </a:extLst>
        </xdr:cNvPr>
        <xdr:cNvSpPr txBox="1"/>
      </xdr:nvSpPr>
      <xdr:spPr>
        <a:xfrm>
          <a:off x="11439861" y="1595046"/>
          <a:ext cx="184941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1">
              <a:solidFill>
                <a:srgbClr val="FF5050"/>
              </a:solidFill>
            </a:rPr>
            <a:t>Employee per 1000</a:t>
          </a:r>
        </a:p>
      </xdr:txBody>
    </xdr:sp>
    <xdr:clientData/>
  </xdr:twoCellAnchor>
  <xdr:twoCellAnchor editAs="oneCell">
    <xdr:from>
      <xdr:col>13</xdr:col>
      <xdr:colOff>175260</xdr:colOff>
      <xdr:row>1</xdr:row>
      <xdr:rowOff>91440</xdr:rowOff>
    </xdr:from>
    <xdr:to>
      <xdr:col>16</xdr:col>
      <xdr:colOff>321735</xdr:colOff>
      <xdr:row>5</xdr:row>
      <xdr:rowOff>83886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BCCC12-B0FD-B1A1-0E45-1BF39CD90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274320"/>
          <a:ext cx="1975275" cy="762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3D984-EE7D-48EE-8FD4-EE879CAD3129}" name="Table" displayName="Table" ref="A1:F1919" totalsRowShown="0" headerRowDxfId="3">
  <autoFilter ref="A1:F1919" xr:uid="{E413D984-EE7D-48EE-8FD4-EE879CAD3129}"/>
  <tableColumns count="6">
    <tableColumn id="1" xr3:uid="{5145698A-81EA-455E-A03E-F4E0CFF55E8F}" name="Year"/>
    <tableColumn id="2" xr3:uid="{1D2AB4E9-2DC7-4324-8AEF-9B1F645D64CE}" name="Industry"/>
    <tableColumn id="3" xr3:uid="{257B98F2-A7D7-4168-9BE0-53C76EC7477B}" name="State"/>
    <tableColumn id="4" xr3:uid="{2953A1F1-89C7-4BB2-BA2E-5D38F8FE4687}" name="Establishments" dataDxfId="2"/>
    <tableColumn id="5" xr3:uid="{89D8047A-E6D8-4698-AE1B-21A681870E35}" name="Employees" dataDxfId="1"/>
    <tableColumn id="6" xr3:uid="{89BFBC50-06E8-44C9-80DB-D26A31E6031B}" name="Avg Annual W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5AE1-429A-4CBC-83FE-81FC69669922}">
  <sheetPr codeName="Sheet1"/>
  <dimension ref="A1:B49"/>
  <sheetViews>
    <sheetView topLeftCell="A21" workbookViewId="0">
      <selection activeCell="D2" sqref="D2"/>
    </sheetView>
  </sheetViews>
  <sheetFormatPr defaultRowHeight="14.4" x14ac:dyDescent="0.3"/>
  <cols>
    <col min="1" max="1" width="14" bestFit="1" customWidth="1"/>
    <col min="2" max="2" width="10.21875" bestFit="1" customWidth="1"/>
  </cols>
  <sheetData>
    <row r="1" spans="1:2" x14ac:dyDescent="0.3">
      <c r="A1" s="3" t="s">
        <v>0</v>
      </c>
      <c r="B1" s="9" t="s">
        <v>75</v>
      </c>
    </row>
    <row r="2" spans="1:2" x14ac:dyDescent="0.3">
      <c r="A2" t="s">
        <v>1</v>
      </c>
      <c r="B2">
        <v>4887871</v>
      </c>
    </row>
    <row r="3" spans="1:2" x14ac:dyDescent="0.3">
      <c r="A3" t="s">
        <v>2</v>
      </c>
      <c r="B3">
        <v>7171646</v>
      </c>
    </row>
    <row r="4" spans="1:2" x14ac:dyDescent="0.3">
      <c r="A4" t="s">
        <v>3</v>
      </c>
      <c r="B4">
        <v>3013825</v>
      </c>
    </row>
    <row r="5" spans="1:2" x14ac:dyDescent="0.3">
      <c r="A5" t="s">
        <v>4</v>
      </c>
      <c r="B5">
        <v>39557045</v>
      </c>
    </row>
    <row r="6" spans="1:2" x14ac:dyDescent="0.3">
      <c r="A6" t="s">
        <v>5</v>
      </c>
      <c r="B6">
        <v>5695564</v>
      </c>
    </row>
    <row r="7" spans="1:2" x14ac:dyDescent="0.3">
      <c r="A7" t="s">
        <v>6</v>
      </c>
      <c r="B7">
        <v>3572665</v>
      </c>
    </row>
    <row r="8" spans="1:2" x14ac:dyDescent="0.3">
      <c r="A8" t="s">
        <v>7</v>
      </c>
      <c r="B8">
        <v>967171</v>
      </c>
    </row>
    <row r="9" spans="1:2" x14ac:dyDescent="0.3">
      <c r="A9" t="s">
        <v>8</v>
      </c>
      <c r="B9">
        <v>21670000</v>
      </c>
    </row>
    <row r="10" spans="1:2" x14ac:dyDescent="0.3">
      <c r="A10" t="s">
        <v>9</v>
      </c>
      <c r="B10">
        <v>10519475</v>
      </c>
    </row>
    <row r="11" spans="1:2" x14ac:dyDescent="0.3">
      <c r="A11" t="s">
        <v>10</v>
      </c>
      <c r="B11">
        <v>1754208</v>
      </c>
    </row>
    <row r="12" spans="1:2" x14ac:dyDescent="0.3">
      <c r="A12" t="s">
        <v>11</v>
      </c>
      <c r="B12">
        <v>12741080</v>
      </c>
    </row>
    <row r="13" spans="1:2" x14ac:dyDescent="0.3">
      <c r="A13" t="s">
        <v>12</v>
      </c>
      <c r="B13">
        <v>6691878</v>
      </c>
    </row>
    <row r="14" spans="1:2" x14ac:dyDescent="0.3">
      <c r="A14" t="s">
        <v>13</v>
      </c>
      <c r="B14">
        <v>3156145</v>
      </c>
    </row>
    <row r="15" spans="1:2" x14ac:dyDescent="0.3">
      <c r="A15" t="s">
        <v>14</v>
      </c>
      <c r="B15">
        <v>2911505</v>
      </c>
    </row>
    <row r="16" spans="1:2" x14ac:dyDescent="0.3">
      <c r="A16" t="s">
        <v>15</v>
      </c>
      <c r="B16">
        <v>4468402</v>
      </c>
    </row>
    <row r="17" spans="1:2" x14ac:dyDescent="0.3">
      <c r="A17" t="s">
        <v>16</v>
      </c>
      <c r="B17">
        <v>4659978</v>
      </c>
    </row>
    <row r="18" spans="1:2" x14ac:dyDescent="0.3">
      <c r="A18" t="s">
        <v>17</v>
      </c>
      <c r="B18">
        <v>1338404</v>
      </c>
    </row>
    <row r="19" spans="1:2" x14ac:dyDescent="0.3">
      <c r="A19" t="s">
        <v>18</v>
      </c>
      <c r="B19">
        <v>6042718</v>
      </c>
    </row>
    <row r="20" spans="1:2" x14ac:dyDescent="0.3">
      <c r="A20" t="s">
        <v>19</v>
      </c>
      <c r="B20">
        <v>6902149</v>
      </c>
    </row>
    <row r="21" spans="1:2" x14ac:dyDescent="0.3">
      <c r="A21" t="s">
        <v>20</v>
      </c>
      <c r="B21">
        <v>9995915</v>
      </c>
    </row>
    <row r="22" spans="1:2" x14ac:dyDescent="0.3">
      <c r="A22" t="s">
        <v>21</v>
      </c>
      <c r="B22">
        <v>5611179</v>
      </c>
    </row>
    <row r="23" spans="1:2" x14ac:dyDescent="0.3">
      <c r="A23" t="s">
        <v>22</v>
      </c>
      <c r="B23">
        <v>2963914</v>
      </c>
    </row>
    <row r="24" spans="1:2" x14ac:dyDescent="0.3">
      <c r="A24" t="s">
        <v>23</v>
      </c>
      <c r="B24">
        <v>6126452</v>
      </c>
    </row>
    <row r="25" spans="1:2" x14ac:dyDescent="0.3">
      <c r="A25" t="s">
        <v>24</v>
      </c>
      <c r="B25">
        <v>1062305</v>
      </c>
    </row>
    <row r="26" spans="1:2" x14ac:dyDescent="0.3">
      <c r="A26" t="s">
        <v>25</v>
      </c>
      <c r="B26">
        <v>1929268</v>
      </c>
    </row>
    <row r="27" spans="1:2" x14ac:dyDescent="0.3">
      <c r="A27" t="s">
        <v>26</v>
      </c>
      <c r="B27">
        <v>3034392</v>
      </c>
    </row>
    <row r="28" spans="1:2" x14ac:dyDescent="0.3">
      <c r="A28" t="s">
        <v>27</v>
      </c>
      <c r="B28">
        <v>1356458</v>
      </c>
    </row>
    <row r="29" spans="1:2" x14ac:dyDescent="0.3">
      <c r="A29" t="s">
        <v>28</v>
      </c>
      <c r="B29">
        <v>8908520</v>
      </c>
    </row>
    <row r="30" spans="1:2" x14ac:dyDescent="0.3">
      <c r="A30" t="s">
        <v>29</v>
      </c>
      <c r="B30">
        <v>2095428</v>
      </c>
    </row>
    <row r="31" spans="1:2" x14ac:dyDescent="0.3">
      <c r="A31" t="s">
        <v>30</v>
      </c>
      <c r="B31">
        <v>19542209</v>
      </c>
    </row>
    <row r="32" spans="1:2" x14ac:dyDescent="0.3">
      <c r="A32" t="s">
        <v>31</v>
      </c>
      <c r="B32">
        <v>10383620</v>
      </c>
    </row>
    <row r="33" spans="1:2" x14ac:dyDescent="0.3">
      <c r="A33" t="s">
        <v>32</v>
      </c>
      <c r="B33">
        <v>760077</v>
      </c>
    </row>
    <row r="34" spans="1:2" x14ac:dyDescent="0.3">
      <c r="A34" t="s">
        <v>33</v>
      </c>
      <c r="B34">
        <v>11689442</v>
      </c>
    </row>
    <row r="35" spans="1:2" x14ac:dyDescent="0.3">
      <c r="A35" t="s">
        <v>34</v>
      </c>
      <c r="B35">
        <v>3943079</v>
      </c>
    </row>
    <row r="36" spans="1:2" x14ac:dyDescent="0.3">
      <c r="A36" t="s">
        <v>35</v>
      </c>
      <c r="B36">
        <v>4190713</v>
      </c>
    </row>
    <row r="37" spans="1:2" x14ac:dyDescent="0.3">
      <c r="A37" t="s">
        <v>36</v>
      </c>
      <c r="B37">
        <v>12807060</v>
      </c>
    </row>
    <row r="38" spans="1:2" x14ac:dyDescent="0.3">
      <c r="A38" t="s">
        <v>37</v>
      </c>
      <c r="B38">
        <v>1057315</v>
      </c>
    </row>
    <row r="39" spans="1:2" x14ac:dyDescent="0.3">
      <c r="A39" t="s">
        <v>38</v>
      </c>
      <c r="B39">
        <v>5084127</v>
      </c>
    </row>
    <row r="40" spans="1:2" x14ac:dyDescent="0.3">
      <c r="A40" t="s">
        <v>39</v>
      </c>
      <c r="B40">
        <v>882235</v>
      </c>
    </row>
    <row r="41" spans="1:2" x14ac:dyDescent="0.3">
      <c r="A41" t="s">
        <v>40</v>
      </c>
      <c r="B41">
        <v>6770010</v>
      </c>
    </row>
    <row r="42" spans="1:2" x14ac:dyDescent="0.3">
      <c r="A42" t="s">
        <v>41</v>
      </c>
      <c r="B42">
        <v>28701845</v>
      </c>
    </row>
    <row r="43" spans="1:2" x14ac:dyDescent="0.3">
      <c r="A43" t="s">
        <v>42</v>
      </c>
      <c r="B43">
        <v>3161105</v>
      </c>
    </row>
    <row r="44" spans="1:2" x14ac:dyDescent="0.3">
      <c r="A44" t="s">
        <v>43</v>
      </c>
      <c r="B44">
        <v>626299</v>
      </c>
    </row>
    <row r="45" spans="1:2" x14ac:dyDescent="0.3">
      <c r="A45" t="s">
        <v>44</v>
      </c>
      <c r="B45">
        <v>8517685</v>
      </c>
    </row>
    <row r="46" spans="1:2" x14ac:dyDescent="0.3">
      <c r="A46" t="s">
        <v>45</v>
      </c>
      <c r="B46">
        <v>7614893</v>
      </c>
    </row>
    <row r="47" spans="1:2" x14ac:dyDescent="0.3">
      <c r="A47" t="s">
        <v>46</v>
      </c>
      <c r="B47">
        <v>1805832</v>
      </c>
    </row>
    <row r="48" spans="1:2" x14ac:dyDescent="0.3">
      <c r="A48" t="s">
        <v>47</v>
      </c>
      <c r="B48">
        <v>5813568</v>
      </c>
    </row>
    <row r="49" spans="1:2" x14ac:dyDescent="0.3">
      <c r="A49" t="s">
        <v>48</v>
      </c>
      <c r="B49">
        <v>577737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sheetPr codeName="Sheet2"/>
  <dimension ref="A1:F1919"/>
  <sheetViews>
    <sheetView workbookViewId="0">
      <selection activeCell="D2" sqref="D2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5.44140625" customWidth="1"/>
    <col min="5" max="5" width="12" customWidth="1"/>
    <col min="6" max="6" width="17.7773437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A1F01C08-243B-48FC-94A8-F102AEB1706D}">
      <selection activeCell="F150" sqref="F150"/>
      <pageMargins left="0.7" right="0.7" top="0.75" bottom="0.75" header="0.3" footer="0.3"/>
      <pageSetup orientation="portrait" r:id="rId1"/>
    </customSheetView>
    <customSheetView guid="{948164EF-B902-4A6C-8E3C-A935061C5153}" state="hidden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E4F3-378A-467F-A761-6E03968AC8E3}">
  <sheetPr codeName="Sheet3"/>
  <dimension ref="A1:T50"/>
  <sheetViews>
    <sheetView topLeftCell="B1" zoomScale="115" zoomScaleNormal="115" workbookViewId="0">
      <selection activeCell="D2" sqref="D2"/>
    </sheetView>
  </sheetViews>
  <sheetFormatPr defaultRowHeight="14.4" x14ac:dyDescent="0.3"/>
  <cols>
    <col min="1" max="1" width="20.21875" bestFit="1" customWidth="1"/>
    <col min="2" max="2" width="22.44140625" customWidth="1"/>
    <col min="4" max="4" width="20.21875" bestFit="1" customWidth="1"/>
    <col min="5" max="5" width="17" bestFit="1" customWidth="1"/>
    <col min="6" max="6" width="16" customWidth="1"/>
    <col min="8" max="8" width="20.21875" bestFit="1" customWidth="1"/>
    <col min="9" max="9" width="16" bestFit="1" customWidth="1"/>
    <col min="12" max="12" width="10.44140625" customWidth="1"/>
    <col min="13" max="13" width="11.109375" customWidth="1"/>
    <col min="15" max="15" width="14" bestFit="1" customWidth="1"/>
    <col min="16" max="16" width="11.33203125" customWidth="1"/>
    <col min="17" max="17" width="11.33203125" bestFit="1" customWidth="1"/>
    <col min="18" max="18" width="25.21875" bestFit="1" customWidth="1"/>
    <col min="19" max="19" width="14.44140625" bestFit="1" customWidth="1"/>
    <col min="20" max="20" width="25.21875" bestFit="1" customWidth="1"/>
  </cols>
  <sheetData>
    <row r="1" spans="1:20" x14ac:dyDescent="0.3">
      <c r="A1" s="6" t="s">
        <v>64</v>
      </c>
      <c r="B1" s="6"/>
      <c r="D1" s="7" t="s">
        <v>68</v>
      </c>
      <c r="E1" s="7"/>
      <c r="F1" s="7"/>
      <c r="H1" s="7" t="s">
        <v>69</v>
      </c>
      <c r="I1" s="7"/>
      <c r="K1" s="7" t="s">
        <v>72</v>
      </c>
      <c r="L1" s="7"/>
      <c r="M1" s="7"/>
      <c r="O1" s="7" t="s">
        <v>74</v>
      </c>
      <c r="P1" s="7"/>
      <c r="Q1" s="7"/>
      <c r="R1" s="7"/>
      <c r="S1" s="7"/>
      <c r="T1" s="7"/>
    </row>
    <row r="2" spans="1:20" x14ac:dyDescent="0.3">
      <c r="A2" s="3" t="s">
        <v>49</v>
      </c>
      <c r="B2" s="3" t="s">
        <v>65</v>
      </c>
      <c r="D2" s="8" t="s">
        <v>49</v>
      </c>
      <c r="E2" s="8" t="s">
        <v>63</v>
      </c>
      <c r="F2" s="8" t="s">
        <v>65</v>
      </c>
      <c r="H2" s="8" t="s">
        <v>49</v>
      </c>
      <c r="I2" s="8" t="s">
        <v>62</v>
      </c>
      <c r="K2" s="8" t="s">
        <v>50</v>
      </c>
      <c r="L2" s="8" t="s">
        <v>73</v>
      </c>
      <c r="M2" s="8" t="s">
        <v>62</v>
      </c>
      <c r="O2" s="8" t="s">
        <v>0</v>
      </c>
      <c r="P2" s="8" t="s">
        <v>62</v>
      </c>
      <c r="Q2" s="8" t="s">
        <v>76</v>
      </c>
      <c r="R2" s="8" t="s">
        <v>77</v>
      </c>
      <c r="S2" s="8" t="s">
        <v>80</v>
      </c>
      <c r="T2" s="8" t="str">
        <f>$B$18</f>
        <v xml:space="preserve">Average Wages </v>
      </c>
    </row>
    <row r="3" spans="1:20" x14ac:dyDescent="0.3">
      <c r="A3" t="s">
        <v>57</v>
      </c>
      <c r="B3" t="str">
        <f>Dashboard!B6</f>
        <v>Business Services</v>
      </c>
      <c r="D3" t="s">
        <v>53</v>
      </c>
      <c r="E3" s="2">
        <f>AVERAGEIFS(Table[Avg Annual Wage],Table[Industry],D3,Table[Year],$B$15)</f>
        <v>93586.333333333328</v>
      </c>
      <c r="F3" s="2">
        <f>IF(D3=$B$3,E3,0)</f>
        <v>0</v>
      </c>
      <c r="H3" t="s">
        <v>54</v>
      </c>
      <c r="I3" s="1">
        <f>SUMIFS(Table[Employees],Table[Industry],H3,Table[Year],$B$15)</f>
        <v>26277342</v>
      </c>
      <c r="K3">
        <v>2017</v>
      </c>
      <c r="L3" s="2">
        <f>AVERAGEIFS(Table[Avg Annual Wage],Table[Industry],$B$3,Table[Year],K3)</f>
        <v>64714.4375</v>
      </c>
      <c r="M3" s="1">
        <f>SUMIFS(Table[Employees],Table[Industry],$B$3,Table[Year],K3)</f>
        <v>20063464</v>
      </c>
      <c r="O3" t="s">
        <v>1</v>
      </c>
      <c r="P3" s="1">
        <f>SUMIFS(Table[Employees],Table[Industry],$B$3,Table[Year],$B$15,Table[State],O3)</f>
        <v>242419</v>
      </c>
      <c r="Q3" s="1">
        <f>VLOOKUP(O3,Population!A2:B49,2,0)</f>
        <v>4887871</v>
      </c>
      <c r="R3" s="10">
        <f>P3/Q3 * 1000</f>
        <v>49.596030664475393</v>
      </c>
      <c r="S3" s="11">
        <f>AVERAGEIFS(Table[Avg Annual Wage],Table[Industry],$B$3,Table[Year],$B$15,Table[State],O3)</f>
        <v>62111</v>
      </c>
      <c r="T3" s="12">
        <f t="shared" ref="T3:T50" si="0">IF($B$18=$S$2,-S3,R3)</f>
        <v>-62111</v>
      </c>
    </row>
    <row r="4" spans="1:20" x14ac:dyDescent="0.3">
      <c r="A4" t="s">
        <v>51</v>
      </c>
      <c r="D4" t="s">
        <v>56</v>
      </c>
      <c r="E4" s="2">
        <f>AVERAGEIFS(Table[Avg Annual Wage],Table[Industry],D4,Table[Year],$B$15)</f>
        <v>90040.666666666672</v>
      </c>
      <c r="F4" s="2">
        <f t="shared" ref="F4:F12" si="1">IF(D4=$B$3,E4,0)</f>
        <v>0</v>
      </c>
      <c r="H4" t="s">
        <v>58</v>
      </c>
      <c r="I4" s="1">
        <f>SUMIFS(Table[Employees],Table[Industry],H4,Table[Year],$B$15)</f>
        <v>22035033</v>
      </c>
      <c r="K4">
        <v>2018</v>
      </c>
      <c r="L4" s="2">
        <f>AVERAGEIFS(Table[Avg Annual Wage],Table[Industry],$B$3,Table[Year],K4)</f>
        <v>66836.25</v>
      </c>
      <c r="M4" s="1">
        <f>SUMIFS(Table[Employees],Table[Industry],$B$3,Table[Year],K4)</f>
        <v>20594171</v>
      </c>
      <c r="O4" t="s">
        <v>2</v>
      </c>
      <c r="P4" s="1">
        <f>SUMIFS(Table[Employees],Table[Industry],$B$3,Table[Year],$B$15,Table[State],O4)</f>
        <v>431379</v>
      </c>
      <c r="Q4" s="1">
        <f>VLOOKUP(O4,Population!A3:B50,2,0)</f>
        <v>7171646</v>
      </c>
      <c r="R4" s="10">
        <f t="shared" ref="R4:R50" si="2">P4/Q4 * 1000</f>
        <v>60.150626508893495</v>
      </c>
      <c r="S4" s="11">
        <f>AVERAGEIFS(Table[Avg Annual Wage],Table[Industry],$B$3,Table[Year],$B$15,Table[State],O4)</f>
        <v>63180</v>
      </c>
      <c r="T4" s="12">
        <f t="shared" si="0"/>
        <v>-63180</v>
      </c>
    </row>
    <row r="5" spans="1:20" x14ac:dyDescent="0.3">
      <c r="A5" t="s">
        <v>58</v>
      </c>
      <c r="D5" t="s">
        <v>57</v>
      </c>
      <c r="E5" s="2">
        <f>AVERAGEIFS(Table[Avg Annual Wage],Table[Industry],D5,Table[Year],$B$15)</f>
        <v>74713.0625</v>
      </c>
      <c r="F5" s="2">
        <f t="shared" si="1"/>
        <v>74713.0625</v>
      </c>
      <c r="H5" t="s">
        <v>57</v>
      </c>
      <c r="I5" s="1">
        <f>SUMIFS(Table[Employees],Table[Industry],H5,Table[Year],$B$15)</f>
        <v>20065896</v>
      </c>
      <c r="K5">
        <v>2019</v>
      </c>
      <c r="L5" s="2">
        <f>AVERAGEIFS(Table[Avg Annual Wage],Table[Industry],$B$3,Table[Year],K5)</f>
        <v>69592.166666666672</v>
      </c>
      <c r="M5" s="1">
        <f>SUMIFS(Table[Employees],Table[Industry],$B$3,Table[Year],K5)</f>
        <v>20961286</v>
      </c>
      <c r="O5" t="s">
        <v>3</v>
      </c>
      <c r="P5" s="1">
        <f>SUMIFS(Table[Employees],Table[Industry],$B$3,Table[Year],$B$15,Table[State],O5)</f>
        <v>139300</v>
      </c>
      <c r="Q5" s="1">
        <f>VLOOKUP(O5,Population!A4:B51,2,0)</f>
        <v>3013825</v>
      </c>
      <c r="R5" s="10">
        <f t="shared" si="2"/>
        <v>46.220334624604945</v>
      </c>
      <c r="S5" s="11">
        <f>AVERAGEIFS(Table[Avg Annual Wage],Table[Industry],$B$3,Table[Year],$B$15,Table[State],O5)</f>
        <v>68067</v>
      </c>
      <c r="T5" s="12">
        <f t="shared" si="0"/>
        <v>-68067</v>
      </c>
    </row>
    <row r="6" spans="1:20" x14ac:dyDescent="0.3">
      <c r="A6" t="s">
        <v>56</v>
      </c>
      <c r="D6" t="s">
        <v>52</v>
      </c>
      <c r="E6" s="2">
        <f>AVERAGEIFS(Table[Avg Annual Wage],Table[Industry],D6,Table[Year],$B$15)</f>
        <v>68427.875</v>
      </c>
      <c r="F6" s="2">
        <f t="shared" si="1"/>
        <v>0</v>
      </c>
      <c r="H6" t="s">
        <v>59</v>
      </c>
      <c r="I6" s="1">
        <f>SUMIFS(Table[Employees],Table[Industry],H6,Table[Year],$B$15)</f>
        <v>12649500</v>
      </c>
      <c r="K6">
        <v>2020</v>
      </c>
      <c r="L6" s="2">
        <f>AVERAGEIFS(Table[Avg Annual Wage],Table[Industry],$B$3,Table[Year],K6)</f>
        <v>74713.0625</v>
      </c>
      <c r="M6" s="1">
        <f>SUMIFS(Table[Employees],Table[Industry],$B$3,Table[Year],K6)</f>
        <v>20065896</v>
      </c>
      <c r="O6" t="s">
        <v>4</v>
      </c>
      <c r="P6" s="1">
        <f>SUMIFS(Table[Employees],Table[Industry],$B$3,Table[Year],$B$15,Table[State],O6)</f>
        <v>2600604</v>
      </c>
      <c r="Q6" s="1">
        <f>VLOOKUP(O6,Population!A5:B52,2,0)</f>
        <v>39557045</v>
      </c>
      <c r="R6" s="10">
        <f t="shared" si="2"/>
        <v>65.74313121720796</v>
      </c>
      <c r="S6" s="11">
        <f>AVERAGEIFS(Table[Avg Annual Wage],Table[Industry],$B$3,Table[Year],$B$15,Table[State],O6)</f>
        <v>106486</v>
      </c>
      <c r="T6" s="12">
        <f t="shared" si="0"/>
        <v>-106486</v>
      </c>
    </row>
    <row r="7" spans="1:20" x14ac:dyDescent="0.3">
      <c r="A7" t="s">
        <v>53</v>
      </c>
      <c r="D7" t="s">
        <v>51</v>
      </c>
      <c r="E7" s="2">
        <f>AVERAGEIFS(Table[Avg Annual Wage],Table[Industry],D7,Table[Year],$B$15)</f>
        <v>63896.895833333336</v>
      </c>
      <c r="F7" s="2">
        <f t="shared" si="1"/>
        <v>0</v>
      </c>
      <c r="H7" t="s">
        <v>52</v>
      </c>
      <c r="I7" s="1">
        <f>SUMIFS(Table[Employees],Table[Industry],H7,Table[Year],$B$15)</f>
        <v>12058694</v>
      </c>
      <c r="O7" t="s">
        <v>5</v>
      </c>
      <c r="P7" s="1">
        <f>SUMIFS(Table[Employees],Table[Industry],$B$3,Table[Year],$B$15,Table[State],O7)</f>
        <v>430367</v>
      </c>
      <c r="Q7" s="1">
        <f>VLOOKUP(O7,Population!A6:B53,2,0)</f>
        <v>5695564</v>
      </c>
      <c r="R7" s="10">
        <f t="shared" si="2"/>
        <v>75.561788086307175</v>
      </c>
      <c r="S7" s="11">
        <f>AVERAGEIFS(Table[Avg Annual Wage],Table[Industry],$B$3,Table[Year],$B$15,Table[State],O7)</f>
        <v>90744</v>
      </c>
      <c r="T7" s="12">
        <f t="shared" si="0"/>
        <v>-90744</v>
      </c>
    </row>
    <row r="8" spans="1:20" x14ac:dyDescent="0.3">
      <c r="A8" t="s">
        <v>59</v>
      </c>
      <c r="D8" t="s">
        <v>55</v>
      </c>
      <c r="E8" s="2">
        <f>AVERAGEIFS(Table[Avg Annual Wage],Table[Industry],D8,Table[Year],$B$15)</f>
        <v>55605.9375</v>
      </c>
      <c r="F8" s="2">
        <f t="shared" si="1"/>
        <v>0</v>
      </c>
      <c r="H8" t="s">
        <v>56</v>
      </c>
      <c r="I8" s="1">
        <f>SUMIFS(Table[Employees],Table[Industry],H8,Table[Year],$B$15)</f>
        <v>8142043</v>
      </c>
      <c r="O8" t="s">
        <v>6</v>
      </c>
      <c r="P8" s="1">
        <f>SUMIFS(Table[Employees],Table[Industry],$B$3,Table[Year],$B$15,Table[State],O8)</f>
        <v>206629</v>
      </c>
      <c r="Q8" s="1">
        <f>VLOOKUP(O8,Population!A7:B54,2,0)</f>
        <v>3572665</v>
      </c>
      <c r="R8" s="10">
        <f t="shared" si="2"/>
        <v>57.836097143169034</v>
      </c>
      <c r="S8" s="11">
        <f>AVERAGEIFS(Table[Avg Annual Wage],Table[Industry],$B$3,Table[Year],$B$15,Table[State],O8)</f>
        <v>95714</v>
      </c>
      <c r="T8" s="12">
        <f t="shared" si="0"/>
        <v>-95714</v>
      </c>
    </row>
    <row r="9" spans="1:20" x14ac:dyDescent="0.3">
      <c r="A9" t="s">
        <v>52</v>
      </c>
      <c r="D9" t="s">
        <v>58</v>
      </c>
      <c r="E9" s="2">
        <f>AVERAGEIFS(Table[Avg Annual Wage],Table[Industry],D9,Table[Year],$B$15)</f>
        <v>53607.208333333336</v>
      </c>
      <c r="F9" s="2">
        <f t="shared" si="1"/>
        <v>0</v>
      </c>
      <c r="H9" t="s">
        <v>51</v>
      </c>
      <c r="I9" s="1">
        <f>SUMIFS(Table[Employees],Table[Industry],H9,Table[Year],$B$15)</f>
        <v>7136444</v>
      </c>
      <c r="O9" t="s">
        <v>7</v>
      </c>
      <c r="P9" s="1">
        <f>SUMIFS(Table[Employees],Table[Industry],$B$3,Table[Year],$B$15,Table[State],O9)</f>
        <v>61669</v>
      </c>
      <c r="Q9" s="1">
        <f>VLOOKUP(O9,Population!A8:B55,2,0)</f>
        <v>967171</v>
      </c>
      <c r="R9" s="10">
        <f t="shared" si="2"/>
        <v>63.762250935977193</v>
      </c>
      <c r="S9" s="11">
        <f>AVERAGEIFS(Table[Avg Annual Wage],Table[Industry],$B$3,Table[Year],$B$15,Table[State],O9)</f>
        <v>85651</v>
      </c>
      <c r="T9" s="12">
        <f t="shared" si="0"/>
        <v>-85651</v>
      </c>
    </row>
    <row r="10" spans="1:20" x14ac:dyDescent="0.3">
      <c r="A10" t="s">
        <v>55</v>
      </c>
      <c r="D10" t="s">
        <v>54</v>
      </c>
      <c r="E10" s="2">
        <f>AVERAGEIFS(Table[Avg Annual Wage],Table[Industry],D10,Table[Year],$B$15)</f>
        <v>49366.8125</v>
      </c>
      <c r="F10" s="2">
        <f t="shared" si="1"/>
        <v>0</v>
      </c>
      <c r="H10" t="s">
        <v>60</v>
      </c>
      <c r="I10" s="1">
        <f>SUMIFS(Table[Employees],Table[Industry],H10,Table[Year],$B$15)</f>
        <v>3843699</v>
      </c>
      <c r="O10" t="s">
        <v>8</v>
      </c>
      <c r="P10" s="1">
        <f>SUMIFS(Table[Employees],Table[Industry],$B$3,Table[Year],$B$15,Table[State],O10)</f>
        <v>1358317</v>
      </c>
      <c r="Q10" s="1">
        <f>VLOOKUP(O10,Population!A9:B56,2,0)</f>
        <v>21670000</v>
      </c>
      <c r="R10" s="10">
        <f t="shared" si="2"/>
        <v>62.68191047531149</v>
      </c>
      <c r="S10" s="11">
        <f>AVERAGEIFS(Table[Avg Annual Wage],Table[Industry],$B$3,Table[Year],$B$15,Table[State],O10)</f>
        <v>68223</v>
      </c>
      <c r="T10" s="12">
        <f t="shared" si="0"/>
        <v>-68223</v>
      </c>
    </row>
    <row r="11" spans="1:20" x14ac:dyDescent="0.3">
      <c r="A11" t="s">
        <v>60</v>
      </c>
      <c r="D11" t="s">
        <v>60</v>
      </c>
      <c r="E11" s="2">
        <f>AVERAGEIFS(Table[Avg Annual Wage],Table[Industry],D11,Table[Year],$B$15)</f>
        <v>40790.1875</v>
      </c>
      <c r="F11" s="2">
        <f t="shared" si="1"/>
        <v>0</v>
      </c>
      <c r="H11" t="s">
        <v>53</v>
      </c>
      <c r="I11" s="1">
        <f>SUMIFS(Table[Employees],Table[Industry],H11,Table[Year],$B$15)</f>
        <v>2677815</v>
      </c>
      <c r="O11" t="s">
        <v>9</v>
      </c>
      <c r="P11" s="1">
        <f>SUMIFS(Table[Employees],Table[Industry],$B$3,Table[Year],$B$15,Table[State],O11)</f>
        <v>692452</v>
      </c>
      <c r="Q11" s="1">
        <f>VLOOKUP(O11,Population!A10:B57,2,0)</f>
        <v>10519475</v>
      </c>
      <c r="R11" s="10">
        <f t="shared" si="2"/>
        <v>65.825718488802906</v>
      </c>
      <c r="S11" s="11">
        <f>AVERAGEIFS(Table[Avg Annual Wage],Table[Industry],$B$3,Table[Year],$B$15,Table[State],O11)</f>
        <v>76331</v>
      </c>
      <c r="T11" s="12">
        <f t="shared" si="0"/>
        <v>-76331</v>
      </c>
    </row>
    <row r="12" spans="1:20" x14ac:dyDescent="0.3">
      <c r="A12" t="s">
        <v>54</v>
      </c>
      <c r="D12" t="s">
        <v>59</v>
      </c>
      <c r="E12" s="2">
        <f>AVERAGEIFS(Table[Avg Annual Wage],Table[Industry],D12,Table[Year],$B$15)</f>
        <v>23286.416666666668</v>
      </c>
      <c r="F12" s="2">
        <f t="shared" si="1"/>
        <v>0</v>
      </c>
      <c r="H12" t="s">
        <v>55</v>
      </c>
      <c r="I12" s="1">
        <f>SUMIFS(Table[Employees],Table[Industry],H12,Table[Year],$B$15)</f>
        <v>1762873</v>
      </c>
      <c r="O12" t="s">
        <v>10</v>
      </c>
      <c r="P12" s="1">
        <f>SUMIFS(Table[Employees],Table[Industry],$B$3,Table[Year],$B$15,Table[State],O12)</f>
        <v>97097</v>
      </c>
      <c r="Q12" s="1">
        <f>VLOOKUP(O12,Population!A11:B58,2,0)</f>
        <v>1754208</v>
      </c>
      <c r="R12" s="10">
        <f t="shared" si="2"/>
        <v>55.350904795782483</v>
      </c>
      <c r="S12" s="11">
        <f>AVERAGEIFS(Table[Avg Annual Wage],Table[Industry],$B$3,Table[Year],$B$15,Table[State],O12)</f>
        <v>59743</v>
      </c>
      <c r="T12" s="12">
        <f t="shared" si="0"/>
        <v>-59743</v>
      </c>
    </row>
    <row r="13" spans="1:20" x14ac:dyDescent="0.3">
      <c r="O13" t="s">
        <v>11</v>
      </c>
      <c r="P13" s="1">
        <f>SUMIFS(Table[Employees],Table[Industry],$B$3,Table[Year],$B$15,Table[State],O13)</f>
        <v>892150</v>
      </c>
      <c r="Q13" s="1">
        <f>VLOOKUP(O13,Population!A12:B59,2,0)</f>
        <v>12741080</v>
      </c>
      <c r="R13" s="10">
        <f t="shared" si="2"/>
        <v>70.021536635826791</v>
      </c>
      <c r="S13" s="11">
        <f>AVERAGEIFS(Table[Avg Annual Wage],Table[Industry],$B$3,Table[Year],$B$15,Table[State],O13)</f>
        <v>83889</v>
      </c>
      <c r="T13" s="12">
        <f t="shared" si="0"/>
        <v>-83889</v>
      </c>
    </row>
    <row r="14" spans="1:20" x14ac:dyDescent="0.3">
      <c r="A14" s="6" t="s">
        <v>66</v>
      </c>
      <c r="B14" s="6"/>
      <c r="H14" s="7" t="s">
        <v>70</v>
      </c>
      <c r="I14" s="7"/>
      <c r="O14" t="s">
        <v>12</v>
      </c>
      <c r="P14" s="1">
        <f>SUMIFS(Table[Employees],Table[Industry],$B$3,Table[Year],$B$15,Table[State],O14)</f>
        <v>326745</v>
      </c>
      <c r="Q14" s="1">
        <f>VLOOKUP(O14,Population!A13:B60,2,0)</f>
        <v>6691878</v>
      </c>
      <c r="R14" s="10">
        <f t="shared" si="2"/>
        <v>48.827100553835557</v>
      </c>
      <c r="S14" s="11">
        <f>AVERAGEIFS(Table[Avg Annual Wage],Table[Industry],$B$3,Table[Year],$B$15,Table[State],O14)</f>
        <v>58578</v>
      </c>
      <c r="T14" s="12">
        <f t="shared" si="0"/>
        <v>-58578</v>
      </c>
    </row>
    <row r="15" spans="1:20" x14ac:dyDescent="0.3">
      <c r="A15" s="4" t="s">
        <v>67</v>
      </c>
      <c r="B15" s="5">
        <v>2020</v>
      </c>
      <c r="H15" s="8" t="s">
        <v>49</v>
      </c>
      <c r="I15" s="8" t="s">
        <v>62</v>
      </c>
      <c r="O15" t="s">
        <v>13</v>
      </c>
      <c r="P15" s="1">
        <f>SUMIFS(Table[Employees],Table[Industry],$B$3,Table[Year],$B$15,Table[State],O15)</f>
        <v>134822</v>
      </c>
      <c r="Q15" s="1">
        <f>VLOOKUP(O15,Population!A14:B61,2,0)</f>
        <v>3156145</v>
      </c>
      <c r="R15" s="10">
        <f t="shared" si="2"/>
        <v>42.717302278570855</v>
      </c>
      <c r="S15" s="11">
        <f>AVERAGEIFS(Table[Avg Annual Wage],Table[Industry],$B$3,Table[Year],$B$15,Table[State],O15)</f>
        <v>61793</v>
      </c>
      <c r="T15" s="12">
        <f t="shared" si="0"/>
        <v>-61793</v>
      </c>
    </row>
    <row r="16" spans="1:20" x14ac:dyDescent="0.3">
      <c r="H16" t="str">
        <f>B3</f>
        <v>Business Services</v>
      </c>
      <c r="I16" s="1">
        <f>VLOOKUP(B3,H3:I12,2,0)</f>
        <v>20065896</v>
      </c>
      <c r="O16" t="s">
        <v>14</v>
      </c>
      <c r="P16" s="1">
        <f>SUMIFS(Table[Employees],Table[Industry],$B$3,Table[Year],$B$15,Table[State],O16)</f>
        <v>168813</v>
      </c>
      <c r="Q16" s="1">
        <f>VLOOKUP(O16,Population!A15:B62,2,0)</f>
        <v>2911505</v>
      </c>
      <c r="R16" s="10">
        <f t="shared" si="2"/>
        <v>57.981353286358775</v>
      </c>
      <c r="S16" s="11">
        <f>AVERAGEIFS(Table[Avg Annual Wage],Table[Industry],$B$3,Table[Year],$B$15,Table[State],O16)</f>
        <v>69538</v>
      </c>
      <c r="T16" s="12">
        <f t="shared" si="0"/>
        <v>-69538</v>
      </c>
    </row>
    <row r="17" spans="1:20" x14ac:dyDescent="0.3">
      <c r="A17" s="6" t="s">
        <v>78</v>
      </c>
      <c r="B17" s="6"/>
      <c r="H17" t="s">
        <v>71</v>
      </c>
      <c r="I17" s="1">
        <f>SUM(I3:I12) - I16</f>
        <v>96583443</v>
      </c>
      <c r="O17" t="s">
        <v>15</v>
      </c>
      <c r="P17" s="1">
        <f>SUMIFS(Table[Employees],Table[Industry],$B$3,Table[Year],$B$15,Table[State],O17)</f>
        <v>207575</v>
      </c>
      <c r="Q17" s="1">
        <f>VLOOKUP(O17,Population!A16:B63,2,0)</f>
        <v>4468402</v>
      </c>
      <c r="R17" s="10">
        <f t="shared" si="2"/>
        <v>46.4539672124397</v>
      </c>
      <c r="S17" s="11">
        <f>AVERAGEIFS(Table[Avg Annual Wage],Table[Industry],$B$3,Table[Year],$B$15,Table[State],O17)</f>
        <v>55987</v>
      </c>
      <c r="T17" s="12">
        <f t="shared" si="0"/>
        <v>-55987</v>
      </c>
    </row>
    <row r="18" spans="1:20" x14ac:dyDescent="0.3">
      <c r="A18" s="4" t="s">
        <v>79</v>
      </c>
      <c r="B18" t="str">
        <f>IF(Dashboard!A2=1,'Data Prep'!S2,'Data Prep'!R2)</f>
        <v xml:space="preserve">Average Wages </v>
      </c>
      <c r="O18" t="s">
        <v>16</v>
      </c>
      <c r="P18" s="1">
        <f>SUMIFS(Table[Employees],Table[Industry],$B$3,Table[Year],$B$15,Table[State],O18)</f>
        <v>204729</v>
      </c>
      <c r="Q18" s="1">
        <f>VLOOKUP(O18,Population!A17:B64,2,0)</f>
        <v>4659978</v>
      </c>
      <c r="R18" s="10">
        <f t="shared" si="2"/>
        <v>43.933469213803157</v>
      </c>
      <c r="S18" s="11">
        <f>AVERAGEIFS(Table[Avg Annual Wage],Table[Industry],$B$3,Table[Year],$B$15,Table[State],O18)</f>
        <v>60136</v>
      </c>
      <c r="T18" s="12">
        <f t="shared" si="0"/>
        <v>-60136</v>
      </c>
    </row>
    <row r="19" spans="1:20" x14ac:dyDescent="0.3">
      <c r="H19" s="4" t="s">
        <v>81</v>
      </c>
      <c r="I19" s="14">
        <f>I16/SUM(I16:I17)</f>
        <v>0.17201894303061588</v>
      </c>
      <c r="O19" t="s">
        <v>17</v>
      </c>
      <c r="P19" s="1">
        <f>SUMIFS(Table[Employees],Table[Industry],$B$3,Table[Year],$B$15,Table[State],O19)</f>
        <v>68952</v>
      </c>
      <c r="Q19" s="1">
        <f>VLOOKUP(O19,Population!A18:B65,2,0)</f>
        <v>1338404</v>
      </c>
      <c r="R19" s="10">
        <f t="shared" si="2"/>
        <v>51.518076754104143</v>
      </c>
      <c r="S19" s="11">
        <f>AVERAGEIFS(Table[Avg Annual Wage],Table[Industry],$B$3,Table[Year],$B$15,Table[State],O19)</f>
        <v>66178</v>
      </c>
      <c r="T19" s="12">
        <f t="shared" si="0"/>
        <v>-66178</v>
      </c>
    </row>
    <row r="20" spans="1:20" x14ac:dyDescent="0.3">
      <c r="O20" t="s">
        <v>18</v>
      </c>
      <c r="P20" s="1">
        <f>SUMIFS(Table[Employees],Table[Industry],$B$3,Table[Year],$B$15,Table[State],O20)</f>
        <v>441860</v>
      </c>
      <c r="Q20" s="1">
        <f>VLOOKUP(O20,Population!A19:B66,2,0)</f>
        <v>6042718</v>
      </c>
      <c r="R20" s="10">
        <f t="shared" si="2"/>
        <v>73.122723913311859</v>
      </c>
      <c r="S20" s="11">
        <f>AVERAGEIFS(Table[Avg Annual Wage],Table[Industry],$B$3,Table[Year],$B$15,Table[State],O20)</f>
        <v>88391</v>
      </c>
      <c r="T20" s="12">
        <f t="shared" si="0"/>
        <v>-88391</v>
      </c>
    </row>
    <row r="21" spans="1:20" x14ac:dyDescent="0.3">
      <c r="O21" t="s">
        <v>19</v>
      </c>
      <c r="P21" s="1">
        <f>SUMIFS(Table[Employees],Table[Industry],$B$3,Table[Year],$B$15,Table[State],O21)</f>
        <v>583792</v>
      </c>
      <c r="Q21" s="1">
        <f>VLOOKUP(O21,Population!A20:B67,2,0)</f>
        <v>6902149</v>
      </c>
      <c r="R21" s="10">
        <f t="shared" si="2"/>
        <v>84.581193480465288</v>
      </c>
      <c r="S21" s="11">
        <f>AVERAGEIFS(Table[Avg Annual Wage],Table[Industry],$B$3,Table[Year],$B$15,Table[State],O21)</f>
        <v>124638</v>
      </c>
      <c r="T21" s="12">
        <f t="shared" si="0"/>
        <v>-124638</v>
      </c>
    </row>
    <row r="22" spans="1:20" x14ac:dyDescent="0.3">
      <c r="O22" t="s">
        <v>20</v>
      </c>
      <c r="P22" s="1">
        <f>SUMIFS(Table[Employees],Table[Industry],$B$3,Table[Year],$B$15,Table[State],O22)</f>
        <v>599657</v>
      </c>
      <c r="Q22" s="1">
        <f>VLOOKUP(O22,Population!A21:B68,2,0)</f>
        <v>9995915</v>
      </c>
      <c r="R22" s="10">
        <f t="shared" si="2"/>
        <v>59.990205999150653</v>
      </c>
      <c r="S22" s="11">
        <f>AVERAGEIFS(Table[Avg Annual Wage],Table[Industry],$B$3,Table[Year],$B$15,Table[State],O22)</f>
        <v>76432</v>
      </c>
      <c r="T22" s="12">
        <f t="shared" si="0"/>
        <v>-76432</v>
      </c>
    </row>
    <row r="23" spans="1:20" x14ac:dyDescent="0.3">
      <c r="O23" t="s">
        <v>21</v>
      </c>
      <c r="P23" s="1">
        <f>SUMIFS(Table[Employees],Table[Industry],$B$3,Table[Year],$B$15,Table[State],O23)</f>
        <v>361183</v>
      </c>
      <c r="Q23" s="1">
        <f>VLOOKUP(O23,Population!A22:B69,2,0)</f>
        <v>5611179</v>
      </c>
      <c r="R23" s="10">
        <f t="shared" si="2"/>
        <v>64.368468730011998</v>
      </c>
      <c r="S23" s="11">
        <f>AVERAGEIFS(Table[Avg Annual Wage],Table[Industry],$B$3,Table[Year],$B$15,Table[State],O23)</f>
        <v>91033</v>
      </c>
      <c r="T23" s="12">
        <f t="shared" si="0"/>
        <v>-91033</v>
      </c>
    </row>
    <row r="24" spans="1:20" x14ac:dyDescent="0.3">
      <c r="O24" t="s">
        <v>22</v>
      </c>
      <c r="P24" s="1">
        <f>SUMIFS(Table[Employees],Table[Industry],$B$3,Table[Year],$B$15,Table[State],O24)</f>
        <v>107758</v>
      </c>
      <c r="Q24" s="1">
        <f>VLOOKUP(O24,Population!A23:B70,2,0)</f>
        <v>2963914</v>
      </c>
      <c r="R24" s="10">
        <f t="shared" si="2"/>
        <v>36.356655422525755</v>
      </c>
      <c r="S24" s="11">
        <f>AVERAGEIFS(Table[Avg Annual Wage],Table[Industry],$B$3,Table[Year],$B$15,Table[State],O24)</f>
        <v>45573</v>
      </c>
      <c r="T24" s="12">
        <f t="shared" si="0"/>
        <v>-45573</v>
      </c>
    </row>
    <row r="25" spans="1:20" x14ac:dyDescent="0.3">
      <c r="O25" t="s">
        <v>23</v>
      </c>
      <c r="P25" s="1">
        <f>SUMIFS(Table[Employees],Table[Industry],$B$3,Table[Year],$B$15,Table[State],O25)</f>
        <v>365657</v>
      </c>
      <c r="Q25" s="1">
        <f>VLOOKUP(O25,Population!A24:B71,2,0)</f>
        <v>6126452</v>
      </c>
      <c r="R25" s="10">
        <f t="shared" si="2"/>
        <v>59.684953052762026</v>
      </c>
      <c r="S25" s="11">
        <f>AVERAGEIFS(Table[Avg Annual Wage],Table[Industry],$B$3,Table[Year],$B$15,Table[State],O25)</f>
        <v>72666</v>
      </c>
      <c r="T25" s="12">
        <f t="shared" si="0"/>
        <v>-72666</v>
      </c>
    </row>
    <row r="26" spans="1:20" x14ac:dyDescent="0.3">
      <c r="O26" t="s">
        <v>24</v>
      </c>
      <c r="P26" s="1">
        <f>SUMIFS(Table[Employees],Table[Industry],$B$3,Table[Year],$B$15,Table[State],O26)</f>
        <v>43549</v>
      </c>
      <c r="Q26" s="1">
        <f>VLOOKUP(O26,Population!A25:B72,2,0)</f>
        <v>1062305</v>
      </c>
      <c r="R26" s="10">
        <f t="shared" si="2"/>
        <v>40.994817872456586</v>
      </c>
      <c r="S26" s="11">
        <f>AVERAGEIFS(Table[Avg Annual Wage],Table[Industry],$B$3,Table[Year],$B$15,Table[State],O26)</f>
        <v>59785</v>
      </c>
      <c r="T26" s="12">
        <f t="shared" si="0"/>
        <v>-59785</v>
      </c>
    </row>
    <row r="27" spans="1:20" x14ac:dyDescent="0.3">
      <c r="O27" t="s">
        <v>25</v>
      </c>
      <c r="P27" s="1">
        <f>SUMIFS(Table[Employees],Table[Industry],$B$3,Table[Year],$B$15,Table[State],O27)</f>
        <v>117288</v>
      </c>
      <c r="Q27" s="1">
        <f>VLOOKUP(O27,Population!A26:B73,2,0)</f>
        <v>1929268</v>
      </c>
      <c r="R27" s="10">
        <f t="shared" si="2"/>
        <v>60.79404209264861</v>
      </c>
      <c r="S27" s="11">
        <f>AVERAGEIFS(Table[Avg Annual Wage],Table[Industry],$B$3,Table[Year],$B$15,Table[State],O27)</f>
        <v>65292</v>
      </c>
      <c r="T27" s="12">
        <f t="shared" si="0"/>
        <v>-65292</v>
      </c>
    </row>
    <row r="28" spans="1:20" x14ac:dyDescent="0.3">
      <c r="O28" t="s">
        <v>26</v>
      </c>
      <c r="P28" s="1">
        <f>SUMIFS(Table[Employees],Table[Industry],$B$3,Table[Year],$B$15,Table[State],O28)</f>
        <v>179092</v>
      </c>
      <c r="Q28" s="1">
        <f>VLOOKUP(O28,Population!A27:B74,2,0)</f>
        <v>3034392</v>
      </c>
      <c r="R28" s="10">
        <f t="shared" si="2"/>
        <v>59.020719801528607</v>
      </c>
      <c r="S28" s="11">
        <f>AVERAGEIFS(Table[Avg Annual Wage],Table[Industry],$B$3,Table[Year],$B$15,Table[State],O28)</f>
        <v>67081</v>
      </c>
      <c r="T28" s="12">
        <f t="shared" si="0"/>
        <v>-67081</v>
      </c>
    </row>
    <row r="29" spans="1:20" x14ac:dyDescent="0.3">
      <c r="O29" t="s">
        <v>27</v>
      </c>
      <c r="P29" s="1">
        <f>SUMIFS(Table[Employees],Table[Industry],$B$3,Table[Year],$B$15,Table[State],O29)</f>
        <v>81639</v>
      </c>
      <c r="Q29" s="1">
        <f>VLOOKUP(O29,Population!A28:B75,2,0)</f>
        <v>1356458</v>
      </c>
      <c r="R29" s="10">
        <f t="shared" si="2"/>
        <v>60.185424097170717</v>
      </c>
      <c r="S29" s="11">
        <f>AVERAGEIFS(Table[Avg Annual Wage],Table[Industry],$B$3,Table[Year],$B$15,Table[State],O29)</f>
        <v>88167</v>
      </c>
      <c r="T29" s="12">
        <f t="shared" si="0"/>
        <v>-88167</v>
      </c>
    </row>
    <row r="30" spans="1:20" x14ac:dyDescent="0.3">
      <c r="O30" t="s">
        <v>28</v>
      </c>
      <c r="P30" s="1">
        <f>SUMIFS(Table[Employees],Table[Industry],$B$3,Table[Year],$B$15,Table[State],O30)</f>
        <v>643507</v>
      </c>
      <c r="Q30" s="1">
        <f>VLOOKUP(O30,Population!A29:B76,2,0)</f>
        <v>8908520</v>
      </c>
      <c r="R30" s="10">
        <f t="shared" si="2"/>
        <v>72.235006488170868</v>
      </c>
      <c r="S30" s="11">
        <f>AVERAGEIFS(Table[Avg Annual Wage],Table[Industry],$B$3,Table[Year],$B$15,Table[State],O30)</f>
        <v>102666</v>
      </c>
      <c r="T30" s="12">
        <f t="shared" si="0"/>
        <v>-102666</v>
      </c>
    </row>
    <row r="31" spans="1:20" x14ac:dyDescent="0.3">
      <c r="O31" t="s">
        <v>29</v>
      </c>
      <c r="P31" s="1">
        <f>SUMIFS(Table[Employees],Table[Industry],$B$3,Table[Year],$B$15,Table[State],O31)</f>
        <v>107707</v>
      </c>
      <c r="Q31" s="1">
        <f>VLOOKUP(O31,Population!A30:B77,2,0)</f>
        <v>2095428</v>
      </c>
      <c r="R31" s="10">
        <f t="shared" si="2"/>
        <v>51.400954840729433</v>
      </c>
      <c r="S31" s="11">
        <f>AVERAGEIFS(Table[Avg Annual Wage],Table[Industry],$B$3,Table[Year],$B$15,Table[State],O31)</f>
        <v>69938</v>
      </c>
      <c r="T31" s="12">
        <f t="shared" si="0"/>
        <v>-69938</v>
      </c>
    </row>
    <row r="32" spans="1:20" x14ac:dyDescent="0.3">
      <c r="O32" t="s">
        <v>30</v>
      </c>
      <c r="P32" s="1">
        <f>SUMIFS(Table[Employees],Table[Industry],$B$3,Table[Year],$B$15,Table[State],O32)</f>
        <v>1242471</v>
      </c>
      <c r="Q32" s="1">
        <f>VLOOKUP(O32,Population!A31:B78,2,0)</f>
        <v>19542209</v>
      </c>
      <c r="R32" s="10">
        <f t="shared" si="2"/>
        <v>63.578841061417371</v>
      </c>
      <c r="S32" s="11">
        <f>AVERAGEIFS(Table[Avg Annual Wage],Table[Industry],$B$3,Table[Year],$B$15,Table[State],O32)</f>
        <v>109413</v>
      </c>
      <c r="T32" s="12">
        <f t="shared" si="0"/>
        <v>-109413</v>
      </c>
    </row>
    <row r="33" spans="15:20" x14ac:dyDescent="0.3">
      <c r="O33" t="s">
        <v>31</v>
      </c>
      <c r="P33" s="1">
        <f>SUMIFS(Table[Employees],Table[Industry],$B$3,Table[Year],$B$15,Table[State],O33)</f>
        <v>637719</v>
      </c>
      <c r="Q33" s="1">
        <f>VLOOKUP(O33,Population!A32:B79,2,0)</f>
        <v>10383620</v>
      </c>
      <c r="R33" s="10">
        <f t="shared" si="2"/>
        <v>61.415864602132977</v>
      </c>
      <c r="S33" s="11">
        <f>AVERAGEIFS(Table[Avg Annual Wage],Table[Industry],$B$3,Table[Year],$B$15,Table[State],O33)</f>
        <v>72078</v>
      </c>
      <c r="T33" s="12">
        <f t="shared" si="0"/>
        <v>-72078</v>
      </c>
    </row>
    <row r="34" spans="15:20" x14ac:dyDescent="0.3">
      <c r="O34" t="s">
        <v>32</v>
      </c>
      <c r="P34" s="1">
        <f>SUMIFS(Table[Employees],Table[Industry],$B$3,Table[Year],$B$15,Table[State],O34)</f>
        <v>31642</v>
      </c>
      <c r="Q34" s="1">
        <f>VLOOKUP(O34,Population!A33:B80,2,0)</f>
        <v>760077</v>
      </c>
      <c r="R34" s="10">
        <f t="shared" si="2"/>
        <v>41.629992750734466</v>
      </c>
      <c r="S34" s="11">
        <f>AVERAGEIFS(Table[Avg Annual Wage],Table[Industry],$B$3,Table[Year],$B$15,Table[State],O34)</f>
        <v>65877</v>
      </c>
      <c r="T34" s="12">
        <f t="shared" si="0"/>
        <v>-65877</v>
      </c>
    </row>
    <row r="35" spans="15:20" x14ac:dyDescent="0.3">
      <c r="O35" t="s">
        <v>33</v>
      </c>
      <c r="P35" s="1">
        <f>SUMIFS(Table[Employees],Table[Industry],$B$3,Table[Year],$B$15,Table[State],O35)</f>
        <v>697244</v>
      </c>
      <c r="Q35" s="1">
        <f>VLOOKUP(O35,Population!A34:B81,2,0)</f>
        <v>11689442</v>
      </c>
      <c r="R35" s="10">
        <f t="shared" si="2"/>
        <v>59.647329615904681</v>
      </c>
      <c r="S35" s="11">
        <f>AVERAGEIFS(Table[Avg Annual Wage],Table[Industry],$B$3,Table[Year],$B$15,Table[State],O35)</f>
        <v>71920</v>
      </c>
      <c r="T35" s="12">
        <f t="shared" si="0"/>
        <v>-71920</v>
      </c>
    </row>
    <row r="36" spans="15:20" x14ac:dyDescent="0.3">
      <c r="O36" t="s">
        <v>34</v>
      </c>
      <c r="P36" s="1">
        <f>SUMIFS(Table[Employees],Table[Industry],$B$3,Table[Year],$B$15,Table[State],O36)</f>
        <v>185307</v>
      </c>
      <c r="Q36" s="1">
        <f>VLOOKUP(O36,Population!A35:B82,2,0)</f>
        <v>3943079</v>
      </c>
      <c r="R36" s="10">
        <f t="shared" si="2"/>
        <v>46.995507825229978</v>
      </c>
      <c r="S36" s="11">
        <f>AVERAGEIFS(Table[Avg Annual Wage],Table[Industry],$B$3,Table[Year],$B$15,Table[State],O36)</f>
        <v>58539</v>
      </c>
      <c r="T36" s="12">
        <f t="shared" si="0"/>
        <v>-58539</v>
      </c>
    </row>
    <row r="37" spans="15:20" x14ac:dyDescent="0.3">
      <c r="O37" t="s">
        <v>35</v>
      </c>
      <c r="P37" s="1">
        <f>SUMIFS(Table[Employees],Table[Industry],$B$3,Table[Year],$B$15,Table[State],O37)</f>
        <v>242218</v>
      </c>
      <c r="Q37" s="1">
        <f>VLOOKUP(O37,Population!A36:B83,2,0)</f>
        <v>4190713</v>
      </c>
      <c r="R37" s="10">
        <f t="shared" si="2"/>
        <v>57.798756440729775</v>
      </c>
      <c r="S37" s="11">
        <f>AVERAGEIFS(Table[Avg Annual Wage],Table[Industry],$B$3,Table[Year],$B$15,Table[State],O37)</f>
        <v>81224</v>
      </c>
      <c r="T37" s="12">
        <f t="shared" si="0"/>
        <v>-81224</v>
      </c>
    </row>
    <row r="38" spans="15:20" x14ac:dyDescent="0.3">
      <c r="O38" t="s">
        <v>36</v>
      </c>
      <c r="P38" s="1">
        <f>SUMIFS(Table[Employees],Table[Industry],$B$3,Table[Year],$B$15,Table[State],O38)</f>
        <v>766122</v>
      </c>
      <c r="Q38" s="1">
        <f>VLOOKUP(O38,Population!A37:B84,2,0)</f>
        <v>12807060</v>
      </c>
      <c r="R38" s="10">
        <f t="shared" si="2"/>
        <v>59.820286623159411</v>
      </c>
      <c r="S38" s="11">
        <f>AVERAGEIFS(Table[Avg Annual Wage],Table[Industry],$B$3,Table[Year],$B$15,Table[State],O38)</f>
        <v>86971</v>
      </c>
      <c r="T38" s="12">
        <f t="shared" si="0"/>
        <v>-86971</v>
      </c>
    </row>
    <row r="39" spans="15:20" x14ac:dyDescent="0.3">
      <c r="O39" t="s">
        <v>37</v>
      </c>
      <c r="P39" s="1">
        <f>SUMIFS(Table[Employees],Table[Industry],$B$3,Table[Year],$B$15,Table[State],O39)</f>
        <v>65232</v>
      </c>
      <c r="Q39" s="1">
        <f>VLOOKUP(O39,Population!A38:B85,2,0)</f>
        <v>1057315</v>
      </c>
      <c r="R39" s="10">
        <f t="shared" si="2"/>
        <v>61.695899519064803</v>
      </c>
      <c r="S39" s="11">
        <f>AVERAGEIFS(Table[Avg Annual Wage],Table[Industry],$B$3,Table[Year],$B$15,Table[State],O39)</f>
        <v>75829</v>
      </c>
      <c r="T39" s="12">
        <f t="shared" si="0"/>
        <v>-75829</v>
      </c>
    </row>
    <row r="40" spans="15:20" x14ac:dyDescent="0.3">
      <c r="O40" t="s">
        <v>38</v>
      </c>
      <c r="P40" s="1">
        <f>SUMIFS(Table[Employees],Table[Industry],$B$3,Table[Year],$B$15,Table[State],O40)</f>
        <v>281874</v>
      </c>
      <c r="Q40" s="1">
        <f>VLOOKUP(O40,Population!A39:B86,2,0)</f>
        <v>5084127</v>
      </c>
      <c r="R40" s="10">
        <f t="shared" si="2"/>
        <v>55.441966732931732</v>
      </c>
      <c r="S40" s="11">
        <f>AVERAGEIFS(Table[Avg Annual Wage],Table[Industry],$B$3,Table[Year],$B$15,Table[State],O40)</f>
        <v>56907</v>
      </c>
      <c r="T40" s="12">
        <f t="shared" si="0"/>
        <v>-56907</v>
      </c>
    </row>
    <row r="41" spans="15:20" x14ac:dyDescent="0.3">
      <c r="O41" t="s">
        <v>39</v>
      </c>
      <c r="P41" s="1">
        <f>SUMIFS(Table[Employees],Table[Industry],$B$3,Table[Year],$B$15,Table[State],O41)</f>
        <v>32771</v>
      </c>
      <c r="Q41" s="1">
        <f>VLOOKUP(O41,Population!A40:B87,2,0)</f>
        <v>882235</v>
      </c>
      <c r="R41" s="10">
        <f t="shared" si="2"/>
        <v>37.145431772713621</v>
      </c>
      <c r="S41" s="11">
        <f>AVERAGEIFS(Table[Avg Annual Wage],Table[Industry],$B$3,Table[Year],$B$15,Table[State],O41)</f>
        <v>63709</v>
      </c>
      <c r="T41" s="12">
        <f t="shared" si="0"/>
        <v>-63709</v>
      </c>
    </row>
    <row r="42" spans="15:20" x14ac:dyDescent="0.3">
      <c r="O42" t="s">
        <v>40</v>
      </c>
      <c r="P42" s="1">
        <f>SUMIFS(Table[Employees],Table[Industry],$B$3,Table[Year],$B$15,Table[State],O42)</f>
        <v>414644</v>
      </c>
      <c r="Q42" s="1">
        <f>VLOOKUP(O42,Population!A41:B88,2,0)</f>
        <v>6770010</v>
      </c>
      <c r="R42" s="10">
        <f t="shared" si="2"/>
        <v>61.247176887478751</v>
      </c>
      <c r="S42" s="11">
        <f>AVERAGEIFS(Table[Avg Annual Wage],Table[Industry],$B$3,Table[Year],$B$15,Table[State],O42)</f>
        <v>66460</v>
      </c>
      <c r="T42" s="12">
        <f t="shared" si="0"/>
        <v>-66460</v>
      </c>
    </row>
    <row r="43" spans="15:20" x14ac:dyDescent="0.3">
      <c r="O43" t="s">
        <v>41</v>
      </c>
      <c r="P43" s="1">
        <f>SUMIFS(Table[Employees],Table[Industry],$B$3,Table[Year],$B$15,Table[State],O43)</f>
        <v>1758991</v>
      </c>
      <c r="Q43" s="1">
        <f>VLOOKUP(O43,Population!A42:B89,2,0)</f>
        <v>28701845</v>
      </c>
      <c r="R43" s="10">
        <f t="shared" si="2"/>
        <v>61.2849452709399</v>
      </c>
      <c r="S43" s="11">
        <f>AVERAGEIFS(Table[Avg Annual Wage],Table[Industry],$B$3,Table[Year],$B$15,Table[State],O43)</f>
        <v>81123</v>
      </c>
      <c r="T43" s="12">
        <f t="shared" si="0"/>
        <v>-81123</v>
      </c>
    </row>
    <row r="44" spans="15:20" x14ac:dyDescent="0.3">
      <c r="O44" t="s">
        <v>42</v>
      </c>
      <c r="P44" s="1">
        <f>SUMIFS(Table[Employees],Table[Industry],$B$3,Table[Year],$B$15,Table[State],O44)</f>
        <v>223284</v>
      </c>
      <c r="Q44" s="1">
        <f>VLOOKUP(O44,Population!A43:B90,2,0)</f>
        <v>3161105</v>
      </c>
      <c r="R44" s="10">
        <f t="shared" si="2"/>
        <v>70.634793845822898</v>
      </c>
      <c r="S44" s="11">
        <f>AVERAGEIFS(Table[Avg Annual Wage],Table[Industry],$B$3,Table[Year],$B$15,Table[State],O44)</f>
        <v>68355</v>
      </c>
      <c r="T44" s="12">
        <f t="shared" si="0"/>
        <v>-68355</v>
      </c>
    </row>
    <row r="45" spans="15:20" x14ac:dyDescent="0.3">
      <c r="O45" t="s">
        <v>43</v>
      </c>
      <c r="P45" s="1">
        <f>SUMIFS(Table[Employees],Table[Industry],$B$3,Table[Year],$B$15,Table[State],O45)</f>
        <v>28512</v>
      </c>
      <c r="Q45" s="1">
        <f>VLOOKUP(O45,Population!A44:B91,2,0)</f>
        <v>626299</v>
      </c>
      <c r="R45" s="10">
        <f t="shared" si="2"/>
        <v>45.524581709375234</v>
      </c>
      <c r="S45" s="11">
        <f>AVERAGEIFS(Table[Avg Annual Wage],Table[Industry],$B$3,Table[Year],$B$15,Table[State],O45)</f>
        <v>74442</v>
      </c>
      <c r="T45" s="12">
        <f t="shared" si="0"/>
        <v>-74442</v>
      </c>
    </row>
    <row r="46" spans="15:20" x14ac:dyDescent="0.3">
      <c r="O46" t="s">
        <v>44</v>
      </c>
      <c r="P46" s="1">
        <f>SUMIFS(Table[Employees],Table[Industry],$B$3,Table[Year],$B$15,Table[State],O46)</f>
        <v>752090</v>
      </c>
      <c r="Q46" s="1">
        <f>VLOOKUP(O46,Population!A45:B92,2,0)</f>
        <v>8517685</v>
      </c>
      <c r="R46" s="10">
        <f t="shared" si="2"/>
        <v>88.297465802034239</v>
      </c>
      <c r="S46" s="11">
        <f>AVERAGEIFS(Table[Avg Annual Wage],Table[Industry],$B$3,Table[Year],$B$15,Table[State],O46)</f>
        <v>96046</v>
      </c>
      <c r="T46" s="12">
        <f t="shared" si="0"/>
        <v>-96046</v>
      </c>
    </row>
    <row r="47" spans="15:20" x14ac:dyDescent="0.3">
      <c r="O47" t="s">
        <v>45</v>
      </c>
      <c r="P47" s="1">
        <f>SUMIFS(Table[Employees],Table[Industry],$B$3,Table[Year],$B$15,Table[State],O47)</f>
        <v>415190</v>
      </c>
      <c r="Q47" s="1">
        <f>VLOOKUP(O47,Population!A46:B93,2,0)</f>
        <v>7614893</v>
      </c>
      <c r="R47" s="10">
        <f t="shared" si="2"/>
        <v>54.523418779489091</v>
      </c>
      <c r="S47" s="11">
        <f>AVERAGEIFS(Table[Avg Annual Wage],Table[Industry],$B$3,Table[Year],$B$15,Table[State],O47)</f>
        <v>92279</v>
      </c>
      <c r="T47" s="12">
        <f t="shared" si="0"/>
        <v>-92279</v>
      </c>
    </row>
    <row r="48" spans="15:20" x14ac:dyDescent="0.3">
      <c r="O48" t="s">
        <v>46</v>
      </c>
      <c r="P48" s="1">
        <f>SUMIFS(Table[Employees],Table[Industry],$B$3,Table[Year],$B$15,Table[State],O48)</f>
        <v>65715</v>
      </c>
      <c r="Q48" s="1">
        <f>VLOOKUP(O48,Population!A47:B94,2,0)</f>
        <v>1805832</v>
      </c>
      <c r="R48" s="10">
        <f t="shared" si="2"/>
        <v>36.390428345493937</v>
      </c>
      <c r="S48" s="11">
        <f>AVERAGEIFS(Table[Avg Annual Wage],Table[Industry],$B$3,Table[Year],$B$15,Table[State],O48)</f>
        <v>53557</v>
      </c>
      <c r="T48" s="12">
        <f t="shared" si="0"/>
        <v>-53557</v>
      </c>
    </row>
    <row r="49" spans="15:20" x14ac:dyDescent="0.3">
      <c r="O49" t="s">
        <v>47</v>
      </c>
      <c r="P49" s="1">
        <f>SUMIFS(Table[Employees],Table[Industry],$B$3,Table[Year],$B$15,Table[State],O49)</f>
        <v>309780</v>
      </c>
      <c r="Q49" s="1">
        <f>VLOOKUP(O49,Population!A48:B95,2,0)</f>
        <v>5813568</v>
      </c>
      <c r="R49" s="10">
        <f t="shared" si="2"/>
        <v>53.285693054592294</v>
      </c>
      <c r="S49" s="11">
        <f>AVERAGEIFS(Table[Avg Annual Wage],Table[Industry],$B$3,Table[Year],$B$15,Table[State],O49)</f>
        <v>67254</v>
      </c>
      <c r="T49" s="12">
        <f t="shared" si="0"/>
        <v>-67254</v>
      </c>
    </row>
    <row r="50" spans="15:20" x14ac:dyDescent="0.3">
      <c r="O50" t="s">
        <v>48</v>
      </c>
      <c r="P50" s="1">
        <f>SUMIFS(Table[Employees],Table[Industry],$B$3,Table[Year],$B$15,Table[State],O50)</f>
        <v>18382</v>
      </c>
      <c r="Q50" s="1">
        <f>VLOOKUP(O50,Population!A49:B96,2,0)</f>
        <v>577737</v>
      </c>
      <c r="R50" s="10">
        <f t="shared" si="2"/>
        <v>31.817245563292644</v>
      </c>
      <c r="S50" s="11">
        <f>AVERAGEIFS(Table[Avg Annual Wage],Table[Industry],$B$3,Table[Year],$B$15,Table[State],O50)</f>
        <v>60233</v>
      </c>
      <c r="T50" s="12">
        <f t="shared" si="0"/>
        <v>-60233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B5DC-6FB0-4A54-A656-778DFB130CE1}">
  <sheetPr codeName="Sheet4"/>
  <dimension ref="A1:Q36"/>
  <sheetViews>
    <sheetView showGridLines="0" showRowColHeaders="0" tabSelected="1" zoomScaleNormal="100" workbookViewId="0">
      <selection activeCell="Q36" sqref="Q36"/>
    </sheetView>
  </sheetViews>
  <sheetFormatPr defaultColWidth="0" defaultRowHeight="14.4" zeroHeight="1" x14ac:dyDescent="0.3"/>
  <cols>
    <col min="1" max="1" width="8.33203125" customWidth="1"/>
    <col min="2" max="2" width="45.6640625" bestFit="1" customWidth="1"/>
    <col min="3" max="10" width="8.88671875" customWidth="1"/>
    <col min="11" max="11" width="8.77734375" customWidth="1"/>
    <col min="12" max="12" width="8.88671875" hidden="1" customWidth="1"/>
    <col min="13" max="13" width="35.77734375" bestFit="1" customWidth="1"/>
    <col min="14" max="16" width="8.88671875" customWidth="1"/>
    <col min="17" max="17" width="10.33203125" customWidth="1"/>
    <col min="18" max="16384" width="8.88671875" hidden="1"/>
  </cols>
  <sheetData>
    <row r="1" spans="1:2" x14ac:dyDescent="0.3">
      <c r="A1" s="15">
        <v>8</v>
      </c>
    </row>
    <row r="2" spans="1:2" x14ac:dyDescent="0.3">
      <c r="A2" s="15">
        <v>1</v>
      </c>
    </row>
    <row r="3" spans="1:2" x14ac:dyDescent="0.3">
      <c r="A3" s="16"/>
    </row>
    <row r="4" spans="1:2" x14ac:dyDescent="0.3"/>
    <row r="5" spans="1:2" ht="17.399999999999999" customHeight="1" x14ac:dyDescent="0.3"/>
    <row r="6" spans="1:2" ht="29.4" x14ac:dyDescent="0.3">
      <c r="B6" s="13" t="str">
        <f>INDEX('Data Prep'!D3:D12,11-Dashboard!A1)</f>
        <v>Business Services</v>
      </c>
    </row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</sheetData>
  <sheetProtection selectLockedCells="1" selectUn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Spinner 5">
              <controlPr defaultSize="0" autoPict="0">
                <anchor moveWithCells="1" sizeWithCells="1">
                  <from>
                    <xdr:col>2</xdr:col>
                    <xdr:colOff>7620</xdr:colOff>
                    <xdr:row>5</xdr:row>
                    <xdr:rowOff>0</xdr:rowOff>
                  </from>
                  <to>
                    <xdr:col>2</xdr:col>
                    <xdr:colOff>304800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4" name="Option Button 7">
              <controlPr defaultSize="0" autoFill="0" autoLine="0" autoPict="0">
                <anchor moveWithCells="1">
                  <from>
                    <xdr:col>10</xdr:col>
                    <xdr:colOff>548640</xdr:colOff>
                    <xdr:row>7</xdr:row>
                    <xdr:rowOff>121920</xdr:rowOff>
                  </from>
                  <to>
                    <xdr:col>12</xdr:col>
                    <xdr:colOff>975360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5" name="Option Button 8">
              <controlPr defaultSize="0" autoFill="0" autoLine="0" autoPict="0">
                <anchor moveWithCells="1">
                  <from>
                    <xdr:col>12</xdr:col>
                    <xdr:colOff>2072640</xdr:colOff>
                    <xdr:row>7</xdr:row>
                    <xdr:rowOff>152400</xdr:rowOff>
                  </from>
                  <to>
                    <xdr:col>15</xdr:col>
                    <xdr:colOff>190500</xdr:colOff>
                    <xdr:row>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Gokul Raj</cp:lastModifiedBy>
  <dcterms:created xsi:type="dcterms:W3CDTF">2021-09-21T20:47:02Z</dcterms:created>
  <dcterms:modified xsi:type="dcterms:W3CDTF">2026-03-15T11:06:36Z</dcterms:modified>
</cp:coreProperties>
</file>