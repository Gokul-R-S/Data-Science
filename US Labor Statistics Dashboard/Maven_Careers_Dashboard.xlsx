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publishItems="1"/>
  <mc:AlternateContent xmlns:mc="http://schemas.openxmlformats.org/markup-compatibility/2006">
    <mc:Choice Requires="x15">
      <x15ac:absPath xmlns:x15ac="http://schemas.microsoft.com/office/spreadsheetml/2010/11/ac" url="D:\Notes\Codebasics\Excel\Excel - Udemy\Careers\"/>
    </mc:Choice>
  </mc:AlternateContent>
  <xr:revisionPtr revIDLastSave="0" documentId="13_ncr:1_{B43635D2-D4EA-4ADD-8D0E-2572CC29109D}" xr6:coauthVersionLast="47" xr6:coauthVersionMax="47" xr10:uidLastSave="{00000000-0000-0000-0000-000000000000}"/>
  <workbookProtection lockStructure="1"/>
  <bookViews>
    <workbookView xWindow="-108" yWindow="-108" windowWidth="23256" windowHeight="12576" firstSheet="3" activeTab="3" xr2:uid="{DB438AB8-0F60-4224-9C67-97043B861F24}"/>
  </bookViews>
  <sheets>
    <sheet name="Population" sheetId="3" state="hidden" r:id="rId1"/>
    <sheet name="Data" sheetId="1" state="hidden" r:id="rId2"/>
    <sheet name="Data Prep" sheetId="2" state="hidden" r:id="rId3"/>
    <sheet name="Dashboard" sheetId="4" r:id="rId4"/>
  </sheets>
  <definedNames>
    <definedName name="_xlnm._FilterDatabase" localSheetId="1" hidden="1">Data!$A$1:$F$1919</definedName>
    <definedName name="_xlnm._FilterDatabase" localSheetId="2" hidden="1">'Data Prep'!$A$2:$A$12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1" hidden="1">Data!$A$1:$F$1919</definedName>
    <definedName name="Z_A1F01C08_243B_48FC_94A8_F102AEB1706D_.wvu.FilterData" localSheetId="1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T2" i="2" s="1"/>
  <c r="B6" i="4"/>
  <c r="B3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3" i="2"/>
  <c r="I9" i="2"/>
  <c r="I4" i="2"/>
  <c r="I8" i="2"/>
  <c r="I11" i="2"/>
  <c r="I6" i="2"/>
  <c r="I7" i="2"/>
  <c r="I12" i="2"/>
  <c r="I10" i="2"/>
  <c r="I3" i="2"/>
  <c r="I5" i="2"/>
  <c r="E4" i="2"/>
  <c r="E5" i="2"/>
  <c r="E6" i="2"/>
  <c r="E7" i="2"/>
  <c r="E8" i="2"/>
  <c r="E9" i="2"/>
  <c r="E10" i="2"/>
  <c r="E11" i="2"/>
  <c r="E12" i="2"/>
  <c r="E3" i="2"/>
  <c r="S11" i="2" l="1"/>
  <c r="F11" i="2"/>
  <c r="F4" i="2"/>
  <c r="F12" i="2"/>
  <c r="F5" i="2"/>
  <c r="F3" i="2"/>
  <c r="F7" i="2"/>
  <c r="F8" i="2"/>
  <c r="F9" i="2"/>
  <c r="F10" i="2"/>
  <c r="F6" i="2"/>
  <c r="L5" i="2"/>
  <c r="P49" i="2"/>
  <c r="R49" i="2" s="1"/>
  <c r="P41" i="2"/>
  <c r="R41" i="2" s="1"/>
  <c r="P33" i="2"/>
  <c r="R33" i="2" s="1"/>
  <c r="P25" i="2"/>
  <c r="R25" i="2" s="1"/>
  <c r="P17" i="2"/>
  <c r="R17" i="2" s="1"/>
  <c r="P9" i="2"/>
  <c r="R9" i="2" s="1"/>
  <c r="S49" i="2"/>
  <c r="S41" i="2"/>
  <c r="S33" i="2"/>
  <c r="S25" i="2"/>
  <c r="S17" i="2"/>
  <c r="S9" i="2"/>
  <c r="P26" i="2"/>
  <c r="R26" i="2" s="1"/>
  <c r="S50" i="2"/>
  <c r="P48" i="2"/>
  <c r="R48" i="2" s="1"/>
  <c r="P24" i="2"/>
  <c r="R24" i="2" s="1"/>
  <c r="S40" i="2"/>
  <c r="S32" i="2"/>
  <c r="S8" i="2"/>
  <c r="P42" i="2"/>
  <c r="R42" i="2" s="1"/>
  <c r="S26" i="2"/>
  <c r="P32" i="2"/>
  <c r="R32" i="2" s="1"/>
  <c r="P8" i="2"/>
  <c r="R8" i="2" s="1"/>
  <c r="S48" i="2"/>
  <c r="S16" i="2"/>
  <c r="M3" i="2"/>
  <c r="P47" i="2"/>
  <c r="R47" i="2" s="1"/>
  <c r="P39" i="2"/>
  <c r="R39" i="2" s="1"/>
  <c r="P31" i="2"/>
  <c r="R31" i="2" s="1"/>
  <c r="P23" i="2"/>
  <c r="R23" i="2" s="1"/>
  <c r="P15" i="2"/>
  <c r="R15" i="2" s="1"/>
  <c r="P7" i="2"/>
  <c r="R7" i="2" s="1"/>
  <c r="S47" i="2"/>
  <c r="S39" i="2"/>
  <c r="S31" i="2"/>
  <c r="S23" i="2"/>
  <c r="S15" i="2"/>
  <c r="S7" i="2"/>
  <c r="P50" i="2"/>
  <c r="R50" i="2" s="1"/>
  <c r="S42" i="2"/>
  <c r="P40" i="2"/>
  <c r="R40" i="2" s="1"/>
  <c r="T40" i="2" s="1"/>
  <c r="P16" i="2"/>
  <c r="R16" i="2" s="1"/>
  <c r="S24" i="2"/>
  <c r="M6" i="2"/>
  <c r="P46" i="2"/>
  <c r="R46" i="2" s="1"/>
  <c r="P38" i="2"/>
  <c r="R38" i="2" s="1"/>
  <c r="P30" i="2"/>
  <c r="R30" i="2" s="1"/>
  <c r="P22" i="2"/>
  <c r="R22" i="2" s="1"/>
  <c r="P14" i="2"/>
  <c r="R14" i="2" s="1"/>
  <c r="P6" i="2"/>
  <c r="R6" i="2" s="1"/>
  <c r="S46" i="2"/>
  <c r="S38" i="2"/>
  <c r="S30" i="2"/>
  <c r="S22" i="2"/>
  <c r="S14" i="2"/>
  <c r="S6" i="2"/>
  <c r="L6" i="2"/>
  <c r="P10" i="2"/>
  <c r="R10" i="2" s="1"/>
  <c r="S10" i="2"/>
  <c r="P45" i="2"/>
  <c r="R45" i="2" s="1"/>
  <c r="P21" i="2"/>
  <c r="R21" i="2" s="1"/>
  <c r="P5" i="2"/>
  <c r="R5" i="2" s="1"/>
  <c r="S37" i="2"/>
  <c r="S29" i="2"/>
  <c r="S21" i="2"/>
  <c r="S13" i="2"/>
  <c r="S5" i="2"/>
  <c r="P18" i="2"/>
  <c r="R18" i="2" s="1"/>
  <c r="S18" i="2"/>
  <c r="M5" i="2"/>
  <c r="P29" i="2"/>
  <c r="R29" i="2" s="1"/>
  <c r="S45" i="2"/>
  <c r="H16" i="2"/>
  <c r="M4" i="2"/>
  <c r="P44" i="2"/>
  <c r="R44" i="2" s="1"/>
  <c r="P36" i="2"/>
  <c r="R36" i="2" s="1"/>
  <c r="P28" i="2"/>
  <c r="R28" i="2" s="1"/>
  <c r="P20" i="2"/>
  <c r="R20" i="2" s="1"/>
  <c r="P12" i="2"/>
  <c r="R12" i="2" s="1"/>
  <c r="P4" i="2"/>
  <c r="R4" i="2" s="1"/>
  <c r="S44" i="2"/>
  <c r="S36" i="2"/>
  <c r="S28" i="2"/>
  <c r="S20" i="2"/>
  <c r="S12" i="2"/>
  <c r="S4" i="2"/>
  <c r="P34" i="2"/>
  <c r="R34" i="2" s="1"/>
  <c r="S34" i="2"/>
  <c r="L4" i="2"/>
  <c r="I16" i="2"/>
  <c r="P37" i="2"/>
  <c r="R37" i="2" s="1"/>
  <c r="P13" i="2"/>
  <c r="R13" i="2" s="1"/>
  <c r="L3" i="2"/>
  <c r="P3" i="2"/>
  <c r="R3" i="2" s="1"/>
  <c r="P43" i="2"/>
  <c r="R43" i="2" s="1"/>
  <c r="P35" i="2"/>
  <c r="R35" i="2" s="1"/>
  <c r="P27" i="2"/>
  <c r="R27" i="2" s="1"/>
  <c r="P19" i="2"/>
  <c r="R19" i="2" s="1"/>
  <c r="P11" i="2"/>
  <c r="R11" i="2" s="1"/>
  <c r="T11" i="2" s="1"/>
  <c r="S3" i="2"/>
  <c r="S43" i="2"/>
  <c r="S35" i="2"/>
  <c r="S27" i="2"/>
  <c r="S19" i="2"/>
  <c r="T16" i="2" l="1"/>
  <c r="T13" i="2"/>
  <c r="I17" i="2"/>
  <c r="I19" i="2" s="1"/>
  <c r="T43" i="2"/>
  <c r="T32" i="2"/>
  <c r="T34" i="2"/>
  <c r="T29" i="2"/>
  <c r="T8" i="2"/>
  <c r="T12" i="2"/>
  <c r="T44" i="2"/>
  <c r="T50" i="2"/>
  <c r="T36" i="2"/>
  <c r="T18" i="2"/>
  <c r="T45" i="2"/>
  <c r="T39" i="2"/>
  <c r="T42" i="2"/>
  <c r="T25" i="2"/>
  <c r="T37" i="2"/>
  <c r="T30" i="2"/>
  <c r="T15" i="2"/>
  <c r="T48" i="2"/>
  <c r="T3" i="2"/>
  <c r="T20" i="2"/>
  <c r="T5" i="2"/>
  <c r="T38" i="2"/>
  <c r="T23" i="2"/>
  <c r="T9" i="2"/>
  <c r="T28" i="2"/>
  <c r="T21" i="2"/>
  <c r="T46" i="2"/>
  <c r="T31" i="2"/>
  <c r="T26" i="2"/>
  <c r="T17" i="2"/>
  <c r="T47" i="2"/>
  <c r="T33" i="2"/>
  <c r="T19" i="2"/>
  <c r="T10" i="2"/>
  <c r="T6" i="2"/>
  <c r="T41" i="2"/>
  <c r="T27" i="2"/>
  <c r="T14" i="2"/>
  <c r="T49" i="2"/>
  <c r="T35" i="2"/>
  <c r="T4" i="2"/>
  <c r="T22" i="2"/>
  <c r="T7" i="2"/>
  <c r="T24" i="2"/>
</calcChain>
</file>

<file path=xl/sharedStrings.xml><?xml version="1.0" encoding="utf-8"?>
<sst xmlns="http://schemas.openxmlformats.org/spreadsheetml/2006/main" count="3999" uniqueCount="82">
  <si>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</si>
  <si>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</si>
  <si>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</si>
  <si>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</si>
  <si>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</si>
  <si>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</si>
  <si>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</si>
  <si>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</si>
  <si>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</si>
  <si>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</si>
  <si>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</si>
  <si>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</si>
  <si>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</si>
  <si>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</si>
  <si>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</si>
  <si>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</si>
  <si>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</si>
  <si>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</si>
  <si>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</si>
  <si>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</si>
  <si>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</si>
  <si>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</si>
  <si>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</si>
  <si>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</si>
  <si>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</si>
  <si>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</si>
  <si>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</si>
  <si>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</si>
  <si>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</si>
  <si>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</si>
  <si>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</si>
  <si>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</si>
  <si>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</si>
  <si>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</si>
  <si>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</si>
  <si>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</si>
  <si>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</si>
  <si>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</si>
  <si>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</si>
  <si>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</si>
  <si>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</si>
  <si>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</si>
  <si>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</si>
  <si>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</si>
  <si>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</si>
  <si>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</si>
  <si>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</si>
  <si>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</si>
  <si>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</si>
  <si>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</si>
  <si>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</si>
  <si>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</si>
  <si>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</si>
  <si>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</si>
  <si>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</si>
  <si>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</si>
  <si>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</si>
  <si>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</si>
  <si>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</si>
  <si>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</si>
  <si>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</si>
  <si>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</si>
  <si>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</si>
  <si>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</si>
  <si>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</si>
  <si>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</si>
  <si>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</si>
  <si>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</si>
  <si>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 BY INDUSTRY</t>
  </si>
  <si>
    <t>EMPLOYEES BY INDUSTRY</t>
  </si>
  <si>
    <t>EMPLOYEES BY INDUSTRY (CLEANED)</t>
  </si>
  <si>
    <t>Others</t>
  </si>
  <si>
    <t>WAGE EMPLOYEE TRENDS</t>
  </si>
  <si>
    <t>Avg Wage</t>
  </si>
  <si>
    <t>COMPARISONS BY STATE</t>
  </si>
  <si>
    <t>Population</t>
  </si>
  <si>
    <t xml:space="preserve">Population </t>
  </si>
  <si>
    <t>Employees per 1000 Capita</t>
  </si>
  <si>
    <t>MAP FILTER</t>
  </si>
  <si>
    <t>Metric:</t>
  </si>
  <si>
    <t xml:space="preserve">Average Wages 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</si>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</sst>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"/>
    <numFmt numFmtId="165" formatCode="[$$-409]#,##0"/>
    <numFmt numFmtId="166" formatCode="#,##0;\$#,##0"/>
    <numFmt numFmtId="167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3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1" fillId="5" borderId="0" xfId="0" applyFont="1" applyFill="1"/>
    <xf numFmtId="0" fontId="1" fillId="2" borderId="0" xfId="0" applyFont="1" applyFill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6" borderId="0" xfId="0" applyFont="1" applyFill="1" applyAlignment="1">
      <alignment horizontal="center" vertical="center"/>
    </xf>
    <xf numFmtId="9" fontId="0" fillId="0" borderId="0" xfId="1" applyFont="1" applyAlignment="1">
      <alignment horizontal="left"/>
    </xf>
    <xf numFmtId="167" fontId="0" fillId="0" borderId="0" xfId="0" applyNumberFormat="1" applyAlignment="1" applyProtection="1">
      <alignment horizontal="left" vertical="top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ercent" xfId="1" builtinId="5"/>
  </cellStyles>
  <dxfs count="4">
    <dxf>
      <numFmt numFmtId="164" formatCode="&quot;$&quot;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1" defaultTableStyle="TableStyleMedium2" defaultPivotStyle="PivotStyleLight16">
    <tableStyle name="Invisible" pivot="0" table="0" count="0" xr9:uid="{E52AE7AB-C54B-4E58-A78E-4A239D61FC59}"/>
  </tableStyles>
  <colors>
    <mruColors>
      <color rgb="FF269999"/>
      <color rgb="FFFF5050"/>
      <color rgb="FFFF7453"/>
      <color rgb="FFB2DBD5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946300977769E-2"/>
          <c:y val="0.1136490110867289"/>
          <c:w val="0.44631165506206616"/>
          <c:h val="0.82433486797756839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5050"/>
            </a:solidFill>
          </c:spPr>
          <c:dPt>
            <c:idx val="0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9-49FE-8E7F-14D6944BF053}"/>
              </c:ext>
            </c:extLst>
          </c:dPt>
          <c:dPt>
            <c:idx val="1"/>
            <c:bubble3D val="0"/>
            <c:explosion val="2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9-49FE-8E7F-14D6944BF053}"/>
              </c:ext>
            </c:extLst>
          </c:dPt>
          <c:cat>
            <c:strRef>
              <c:f>'Data Prep'!$H$16:$H$17</c:f>
              <c:strCache>
                <c:ptCount val="2"/>
                <c:pt idx="0">
                  <c:v>Business Services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20065896</c:v>
                </c:pt>
                <c:pt idx="1">
                  <c:v>96583443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9-49FE-8E7F-14D6944BF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123-A892-8E0834D7F0A7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269999"/>
            </a:solidFill>
            <a:ln>
              <a:noFill/>
            </a:ln>
            <a:effectLst/>
          </c:spPr>
          <c:invertIfNegative val="0"/>
          <c:dLbls>
            <c:dLbl>
              <c:idx val="8"/>
              <c:tx>
                <c:rich>
                  <a:bodyPr/>
                  <a:lstStyle/>
                  <a:p>
                    <a:fld id="{C8FBA620-0D02-46F9-9380-420B5FF6159C}" type="VALUE">
                      <a:rPr lang="en-US" sz="1050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21B-4123-A892-8E0834D7F0A7}"/>
                </c:ext>
              </c:extLst>
            </c:dLbl>
            <c:numFmt formatCode="\$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74713.0625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B-4123-A892-8E0834D7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80636960"/>
        <c:axId val="180633600"/>
      </c:barChart>
      <c:catAx>
        <c:axId val="180636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3600"/>
        <c:crosses val="autoZero"/>
        <c:auto val="1"/>
        <c:lblAlgn val="ctr"/>
        <c:lblOffset val="100"/>
        <c:noMultiLvlLbl val="0"/>
      </c:catAx>
      <c:valAx>
        <c:axId val="180633600"/>
        <c:scaling>
          <c:orientation val="minMax"/>
        </c:scaling>
        <c:delete val="0"/>
        <c:axPos val="t"/>
        <c:numFmt formatCode="[$$-409]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20063464</c:v>
                </c:pt>
                <c:pt idx="1">
                  <c:v>20594171</c:v>
                </c:pt>
                <c:pt idx="2">
                  <c:v>20961286</c:v>
                </c:pt>
                <c:pt idx="3">
                  <c:v>20065896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1-4758-A5B3-ACD1C64EC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891289328"/>
        <c:axId val="891275408"/>
      </c:barChart>
      <c:catAx>
        <c:axId val="8912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75408"/>
        <c:crosses val="autoZero"/>
        <c:auto val="1"/>
        <c:lblAlgn val="ctr"/>
        <c:lblOffset val="100"/>
        <c:noMultiLvlLbl val="0"/>
      </c:catAx>
      <c:valAx>
        <c:axId val="891275408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Employees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rgbClr val="269999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rgbClr val="269999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8197278911564752E-2"/>
                  <c:y val="-9.0560725363874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23-49C7-99CE-809F2A531A48}"/>
                </c:ext>
              </c:extLst>
            </c:dLbl>
            <c:numFmt formatCode="\$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64714.4375</c:v>
                </c:pt>
                <c:pt idx="1">
                  <c:v>66836.25</c:v>
                </c:pt>
                <c:pt idx="2">
                  <c:v>69592.166666666672</c:v>
                </c:pt>
                <c:pt idx="3">
                  <c:v>74713.0625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6-4CE0-8233-C7BF108D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89328"/>
        <c:axId val="891275408"/>
      </c:lineChart>
      <c:catAx>
        <c:axId val="891289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1275408"/>
        <c:crosses val="autoZero"/>
        <c:auto val="1"/>
        <c:lblAlgn val="ctr"/>
        <c:lblOffset val="100"/>
        <c:noMultiLvlLbl val="0"/>
      </c:catAx>
      <c:valAx>
        <c:axId val="891275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Wages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7918A051-7771-4B4A-8763-4981C4D6F44F}">
          <cx:tx>
            <cx:txData>
              <cx:f>_xlchart.v5.2</cx:f>
              <cx:v>Average Wages </cx:v>
            </cx:txData>
          </cx:tx>
          <cx:spPr>
            <a:solidFill>
              <a:schemeClr val="bg1"/>
            </a:solidFill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1H1pUxy5Eu1fcfjzK0b7cuPOjZhaemHHYOzxl4oG49p31frrXzY0NpTxmBuXFy+6xzFjqFIrpaPM
PJlKaf59O/zrNr3b1O+GLM2bf90Of74PjSn/9ccfzW14l22agyy6rYum+GYObovsj+Lbt+j27o+v
9aaP8uAPgjD74zbc1OZueP+ff8O3BXfFcXG7MVGRX7R39fjhrmlT0/zDsxcfvdt8zaLcjRpTR7cG
//n+r3Rzs8k279/d5SYy49VY3v35/tlL79/9Mf+qn7p9l4Jkpv0KbSk5kEIwQoh8/y4t8mD3e0uJ
A8UQpQQR/fB57PR0k0HDV0hyL8fm69f6rmlgJPf/fdLwmdjw++P3726LNjfb2Qpg4v58/zGPzN3X
d5dmY+6a9++ipnAeXnCKrewfL+8H+8fz+f7Pv2e/gOHPfvMEkvlc/e7RT4icRHl+1xTmDTFh4oAy
jRnVCt1/8HNoNDvAWlFECXmOyatkeRmVJ01nuJyc7iUuTpEW9eZr8ThDb6Aq6kBrxTli5EVYMOIH
nElFBX3s9EFVXiPKy6j8aDkDxTnbS1D+qqOpyN9QVSg7IBr0QGH2YKRmVgxjfADmjWvBxaMqPZjO
nRX7vUAvI/N9JDNg/vqyp8Akm7zZgJF9M8fCDhSoC6KYPyCjZkaMHICBw5zznZHjj30/IvN7iX4F
zWPLOTYf9hKb07v+3WqTlU0Y1XePk/S/mzNGD4TiAmvKH8wZWK2nBEDiAy6lIBrph+czZ/NqsV5G
adZ8BtXpai+hWoDPib6+oX0j6oBrzjHAtPs8B0mBFilJGQE6cP+ZuZ5XCPQyPN8bzoBZ7CdLu76r
syI3b6g97ABJTuCfudoQcDhEaKHoA2Izu/YKSV5G5HvDGSLXV3upKs4mjb4VdR69obZQeUA4E0Lj
ncmaEWeM9YHAkkjMdvr0uCB2RO1VMr0Mz9PxzBBy/tpLhE42TbO5Ddvmzpg3JAaMHAAEVIJbeZEY
gN8RiEPkqYDLPeVqr5bnZYBmzWcYnewnRk4B0eetiW7bt7RtW8/PMaePzGCmRhJyBlQB5yYz2/ZK
aV7G51njGTrOftq4q7ttbqC5e0PWRjmkZSAjg9SONgMre8raIG1DGSVbK/dACAC7p0r0KpFeBuhJ
0xk8V/uZInDv0k2/eUtOTfUBQgpIM90FPfo5OpIfMKEEoxhio+1npkCvkehlcH60nGHjenvpfJZ3
RR28KTcAXsbAaEFi7btiPFMcesAYo5KhnWLNmPQrBHoZme8NZ8As99PjXBatCd85m7pIozfN5NAD
jahmBO/wmfFqhSCfAOBARudBdcRzw/Z6uV6Gad5+htals5dqtP66Cd8wBcrYAVUaSfLIn2dJHYzZ
geCaSoVmlu23gryMyq7ZDIy1u59gpKAyRfSWXBodYMACUs679OfM3yh9gJkSlKsf/ugpG1i/QqJf
APO95Ryb/UwQrPOv0eZN7Zk+gDBUM/WY35zbM3EADFpqyF4/+KO5wvxeoF8g89hwDsx+krR10W8e
Lf0bJD0JpG2Y4JKxh1mfoaLpwTYbKjDaPZ95md9J8wtI7scwx2M//f+nqLkt8ibK3xAUcBqQLONU
7DICP1sxSQmkQfXLSc5XifQyMk+azuD5tN5LH3P01ts4ChLMTBIt5Yu0WStgBAjDPs/Ow8ySNr+X
52VgHtvNUDm63E9UwOm2t8n4djoDqU5OJFGC78ozZkxMcXAvUkqKdzozcy9Hr5DoF8h8bznH5u+9
xOYckjTNmHabN01Fs224ApnoXTCJEORhnoabUh4oqtRWrR7CGcDvKTN7rVQvY/S89Qyn8/10PMdF
GzVvzNHQgVYQborv22vPQdIYQMQKygt2ILHnIL1KpJcRetJ0Bs/xfsJzHUG+5k1VaGviMFGaCmDJ
28/MxEl1sNUvDvHow3Pgck9V6DUSvQzOj5YzbK73E5uTTZTfPU7OG5BoDjnmbVXNE5//1LYJfUBg
x5oB034AZqY2vxXnZVR2zWaQnHh76XVONvWYbvKvb4cKhfI0oASAyXMjJsWBRBiqpPQOjZmavEaS
XwHyOIY5JvuZnzmJbsMo2LxtZKMkk1qqXdJyZsKApUmKNNivl5Oar5HoF9h8H8scm/2Ma06iptn+
KcvoDVUGNjIJ7Nd8z47NVAfSZ1A3SKDgc5ejmWUDXinUrxB6MqI5SPsZ5mzno2jrt0QIwkshIYXG
drsCs+1ODfVPEORITHYKNAtzXiPRr+F5GMscm/0svT1LUtgKeNOjA1DurCiDbNpDZmAe4mjgb2hb
lyZ3/Ay06yk/e41EL2Pzo+UMm7Oj/SQDUJr2pslnJg+ggIZjDduZ9x/w+U8ZGkZg2Riwa0Hn3Oz3
oryMycljwxkkJ1d7Ccnp3U29aZLN45J9A9YMVTVQeUahpvYBk7kp0wcQi0oCtQMPz2fO5jUSvQzN
j5YzbE73kzuf3nWbtyyyhaoNygWDeOZHLuaZtmABPIBDQdqu6AY/roqHssHfy/MrXB7GMUflek81
pn93eFc3d+Pj7LyBzsD+JoU6QU5fdv8Sdg6AvcH5u4dAU8+s2bbI/Pcy/QqdH23nCB3uLUInd0N0
+4YVAXAAB0o2gICxnVX7ydOIAwwsAArWftKa/t3vpfk1No9t59ic7C02fxd18oa6Qw4g5idse4Tz
JQ4AtWgQ2iA4AbLLC/zkb/p3v5Po1+g8tJxj8/d+YlPU/29KnoBAUyiW+e53ZofXJFRvKHA7Qux0
a47Qq+X6BU6z9nO0nD1Gy90kb3smV0J5oKBgxXbHOiCYecYREILSzu1RxEdX9KjJO45wP9e/l+qf
kHpsPcdpP7NtZ2H0hn4I9tsYHCaEiOdlDgcHpeAJhaNSu31s8FPPgtHfSPMyLg9jmOFxttpLvTmr
74LiLXOfUNAJtguqz8SOnM00hqADOPwJp6bZrGbg95L8Ao3dCOZ4fNhLPD6EcMnBu3XztrsEDE7X
EAXFNLsC9J821SBKxRDmbM9M339mevJaqV5G6HnrGU4f1nuJ00Ph8KNtfrApbxD5AK+mQM3gCO4D
DjNuAPHQAaEIqtnFLOZ5rTwvI/S89Qyhy/30NFd3w5uebMfg6aliUIr+QKwhsHlKBTSkE4B0Q2nH
j9Kcp67mt+K8jMyu2QySq897qTQfzSZ8dMD/u7JsEzhwohDO3exSZ7PU2v0tEBLqOIiYUejfyfEy
FA+tZkh8vNpLJD5t4F6BPDBv6vqBLGNMuVS/MF73rh+O4zxu68xSA6+T6WVsnradIfTpr71A6PYf
L0F66mCevfnfXvykYXcGIIIjTy+mB8CKQVkn3GXzWDYwczOzu5l+LdbLMM2aPxvJflz89OmuMe9+
VAo9nYBn6+6/xQWqmhgB1YGSjfvPzPHDOSgB+TZIqO28z4ygvVqsl3GZNX82kj/ff9rP1PSnsYBr
1IK3czhwhh2wEbBXs9tfmzscBHufHMOWAtqFo499P2QDXiHQL+B5HMkcmP9PmbVfX6z2/dI5d2M2
3v1tdU/uVvvnp/djhyv0Zk13AfuLfOFB/dZf/3wPhBmqbL5fgrf9jmeR/rNz5vNmd5vG/PnegjsI
JJxzwwIuKhB0e9L9/bse9H37iELNCAebCYfcGJzfEZAIyrfJnT/fw6qAYBbOmMIBXxAC/vL+XbM9
LgmPtpWmcAmVopxDsQJUlX6/J/C8SEcIvL/PyO7nd3mbnRdRbhpozcD4lg/vbYcInUgKuV1EgIRK
WGMEwfPbzQdY5PA6/j+cjHADSRF1K7jRD7skjFIvnHLtcGM+jyK5UaiL7bKYjJe3g3aSWDT2MIzJ
ocJJ6SCjrlSnkkMrNcnJ0KbHnWKNLS1xSqqa2imyclvGnXbGlg22avNpwWiG3CooqR2qSi9KbUWO
Fq12pCYXpd8hF4V+bsdMJR6u5GAHGPq0AtQ5Mc6hT1QhN06az12qr1oeFXZVFsQRPL4RVoncNIPX
Ezx1TtHJel129WeswtKZeEfteOKWl/ny2urRh5jim66G7gUvP6cF3DISGGoPhYwcYIgXOFSNTXIY
jygH46G6+ixwrG1Ty9zuLRgeTCJxhixHbmfJdV2rdZAb4/kNTE2nfS8wGbWnOPlGEmuwhYCpLFTd
uKiCL007mAKWBB9hCDANSK0zqIpx/Rre6hDI0JXM8kKfNHYbkmIVs7pcFGmQuqIS8DRhF71qjbdt
GTNf2ZFuY3siIreDEaagTKnxuMHTRVCkFxoK1720gS7TYOJHnFUgfk+J11YgEC1F4qIp+Jg0erB9
2SpXF/m3Ma+KVUVr4nB/TNw+GUlg6zS49VMLwzzoK7g+xXg0T0unQXHshFkMABul7AJ1xKlj3Vz5
yk+OKy18p7TSaVFOaFr1CmaPNtBpz+VaYevqfpFE1ajckVWNW0pYB3ikF1mnIqdG+qpXuHNIAv/K
EL/oIhAqiBO2platFzhuG7cIsuFQakO8rtyuIgPvQsncadTgxK2KhniyC2NH+GKAaYKF1aZZ6WSc
n8J6/jbohNpQwK3stI9uIPsH2E/wU+zzwe6wlbu9UY0juwLaZDBLDS6VS2Q5naCq0U7d1J/v8c4C
ldtdCsvK9DDeIIQlI3UN0FdVaLdCpYcIB99AyWFVC3hXhbA6lYSlUmx1IajM+DEN4Ueh4huKQRDQ
PGV3ZRKdtjBdUCd4NU6AfF+BnkjZ+4e9yqaTUIJ2aNl8lgl8oZCAsGphMSnQxvvJyEtQit6CV8sk
u8mKnng+ktVhShruMR8WbZo0/uGYa/wha+LSIWUf2309dg41ZbmYMkK8OimQm9UMphR1IEMQNkeq
sYZlIAg+ppUfOZWZiJdIUMqxp8dRH+d23hawynJ4OPR5cqIIKCpFYAhUF6ZeMgaph0BPUNpFF13I
T+/Vi8bTtEK4Jd7AUuW2hRrsoo0LG2UANwt1chiEKF8OiCZeh7dqmKjCucfWymD4lp8fi87fmhBY
AnlZaYf2MDf3q3ySybQoylovm4Al3pileiFomLq9Bcv5fgFsVzio+EXEpnxJRzBjugP9ZpOeVvcw
m7anoAewjIaEGK+Lsb8pI26teAhDnSzoK2+xtfI1BevFo5tohL/0OPkWJCAfHFMDu2KBNmfUaIfk
2D9EdZsfywgNp3zgS9XHN1YQjbYl+/zYT0jipRI0op2QtQo46GkxcXw8ylAvpIBFlmc0P7YaDb3n
YL5knME5LzAOeMrtaGBLHaaNjawBvgz3ncMaKhxpEHXrmjd2RZp63YtGuTLvlDtEGVqhglPPSgMw
igEG49YDdJZM9NJvyUUIV48uJ5yPy9KAMSlZ1zm8gmH7HYjQtxi0SJbFKlNgwTKZ0gfbRPRAvHul
7SLROVZgXcF3h+e8hiVRc3ZBxnhcCt9SNjfF1u30sJiqoVw0IgL8ihS5YYXy40Gw4bSVyTfNOEzN
CBpwP9dC88RNMvjKFgOuLBeJxwbTuBbsk9kp45UtU8s/J3jKXFFU6VL51bdKwq+zNvZA6Us7iMCe
MCuNFriubxWyuJdbOHCKSl5nBSu8xArPrb49lYWJbdqr4HCMhiC2rbRJsSvaEXkk6Qtk54MlWndK
py8JT7POhlIEJjw4UdJY9jTV8Q2Ji8HFZay5EyFyxYMkdRvVl/HJGDTtYdQjgJAiP/BtP8Cs9WJU
xXZYROY8DJjwA1vgNJCLuhm62BkTg7xh1HXjTSwssSOqyjos/XZjmaL42ujulkWoaO2ADsk3VVFr
EmAlpqlxwPz3K5PXxUJnyaBLu7Yq6pRxDTofs85yA3BFLsHKP9F9MVmLlOZ9c5qQUMl1rlmTrcw4
GevzGLDOCdugS4/9UFNj13WKhVONSRWd8k6Q0QtI7lsf8hboQygFJEW+U7EXmA0wpDmv2ebWqBAS
CTj6AbzrKa9JtUUmVtTtSkbjuKyn8FuUgHOhubpq64LCsgKtYxGs9H/uF9JAP/cLB+kREQpBSfaM
T+mRkVGbsl3h/t7YgQ7SKPma91ZiD2Xy7Z97g6LUn3uTAovtPQoIzrA8H+XUBxaLprxdpSMskC0T
0IlveYHVoIdx7Wj3bkIfqONtUY51FIS7W6a///ifqyKDP/d3IP/45faS6h8/QZ35w+3W//gW3GSy
DV+a+Utbab5/Fwizk27LvJ/98FMU8Aue/3BZ9i8evi4IgPuRGczq96X3UxTw7AzKllPvWuwCACFg
80rAXXKUcLjJj28Lix4DAHwAV8TA0RaOscRKAriP/B/SXlzBoUypEVzISBCE5o/8n0JoIIGqw1EM
DfXkWv43/P/n9SPBx8D3wC3QGpYRCPdUS0YNV0CZ0ZpWhe+N2uPjiYqhavn7bOzWzdMQ4+cuFIaa
t+25BRAZQtnnXfh9m1oBAYfZ+dROJmVbI1Aecfe/9bKV4kkYU/t6GHgIvcj8S2N9KYY7w53/rYut
5j/pQkYFy4sOuminC4kuxsitppt/7gIj+pP9gM0AOCYN1ZuwMjDcyfG8lya1yjjoqnrFrby+LaAE
tPciBExN9tA195P0A/AmoAlp6x/SBrWLoaGDJ+IBL8eh65dRWdfXJJwodqKpid3ayAvCs467YTf0
x7oW0aLwwZ5TM3QL3Pn+JbicNrx3fFdjAhxLxjI+akQnHVWUXzJVurFSjZcWuFu1ce1wXYXItmBH
yU0sGZ6kZTnaSdUWtojq4kjUbbwOUSqPkJrE31Ymc2yHfAyBKFviCCKY0QH60nihxbsjE2TtYCeD
Sd2pTdrjVmfTx8jAj2EZEieW1a0gmTz0o4x6yqo6t5FTtmSkOWbAuT4O+QiBkN/ipdXK1CtoHa9Z
hhI7bTFbNIkClz6U+EShJPNiClHoQIbuA5UGviRR5lhO8egVkyKj3Y0NPvF9CvoQ68AJija88OOu
v9UmGy+6ibYNhA+DhCgghv6i6a7Phf85LNs6djOdTh9FLzh1+wnf1fVgpQ5vmPlmVWwInSFOzbUm
kQoXgzDsooMgz5HbCeYMnxQjJ8bODFBJMXLhZqVvjlPhg+eMWJB5Ps9l6YB8iaO5kU6bxtZpHLA7
01jM7ke4pD+eho9sInc61/zvgfDAYa0VfTbJEK/RWMGU1GGFl3nP7iZT1NoO+2paxRUa7DgtAQTu
T+a6RfB92QByxINMDjPNm+vIGqWTDpU8ylQbnpRZ73uU13jZNn140ackhsCXdq6uy3rRwyHYZUHI
lNhciMDR/uh7ahhR7EwpcCQOLnI1YQEdkAkYQRWbZZ+pZBXzuLtMiqm9NKUPL9e6gYWhIn6RBiOQ
/tSHrANsp9nMKlqvgytTzpSG6bQrin0ISUriErCdp6bXcbyOicgWZVpFlT1UEfadtvbxB9b6wcUY
ROgyzttksMs+4mckxfEyDAK0xKz2b3yos9KwSiz/lPS68J0klLK1Gc5biAZ9djaGNXFHCLKdYQrY
4VjW1XEFqaAPOJu6tdClOPctai2bMqTnEmfBcc/4tZ9V04WRYdM7A+/Qqg0rQdZVbVK7bYd0cJIo
9G8MJFFsXfaFsanVWstiDNU3FifqmxX4xmmspj+qJdY3IWSdvKCtGLYhg4Q8qzHa9gu9nQ8fJcLF
0/A1rRqYyaYbIKsTlGiFGzwCF9fkOA0CdoWGZPL8ESJr6IzjpZJ5veQ96z8r4ndfcp+HFyir0KqL
SCpc1g6RE8kI8igZUKBbnDTmsMra7LSlA9yPR2l+kreBPhvwRK9SbcbEbhpleUOF+VFPgvGcdhB0
BWWtzuOozjdjyPuLehyH8yEOzenQVOIYD3I8aSrNj5KS5ktc8c4pRyMuy5Eq10zjtKp6S0GcgQh0
UOGt8UqJby7qCUFmZkJ+Iu1cCO5GihaLzu/RNxYJk9lhWoSXFSRYvvJJNCvcgRFKrKxZwtLg7gBB
w6Icy2Zpij7I3KaMGhe8CvNaxKqjtBfTlnNX4dVEMqDcwG3hO7kfCjfW0neIzKdDkDa4IriYDsdk
rI54TEYn5X5UObHIUWzzLNZroK18UcSxcCUL9Jo3ulgYMRSQywmsZR0mUQYDoLAmFMTAC2AJECaO
db22apTCMCo1LvwQiJ70W7/2CEq10/kG5mEopgFyVmo4z9O6uukrY8CMdclFWjC1DGM0OgaswJco
0pMH+TG5MiTu7iSCxBwJFD+CGDRf9kWUKogI4hJONhT4xki4+MBOdeR/a3SbXo/N0J/B9XjJ4f3r
JBf8MgtZvR6HICP2xGV/1k/xcNaoEaJilRSjB2sYkj+jUS7DQVbb911GU5kwWzQQK7Qj0cCVU4Nu
ksQ0n+Q2Wut4CK+ymlpeFInxJC+D2CFNQD6wfPD/jllYXHdRli2NbvMl55PvRRNGdmyhzOkrpB00
tMmhKNoNxAhmDTcuqsQO2pi7kJVCq7hPEjCedXeqDYLpy0NID9ZYRyciGboTbJlA2yMuhlVh6ZHY
qsR0XRPaBTZSXXYYN3hIbFkI07psm60weQkCo0FMKx0l4hIPDfpsmm6CHEID0JUZBO+8VPlS9sKK
7KlsodsogRzOMEGsgOsW8paysq7KSPS9bQ0AvaITPi4krddtSsOvGkKLwySNxWVWC37k40JD8gVS
h6QKuq32W2oJbLRe09JKrnsd6WWeV+JSV8LyOKu1o4zJl0ECEXq9dXaNhjDdiuVw3gtpeRRDoqPQ
DSRoIVV2TuuRbXBWpV5ewgIXPksOJ1jRjkTMeBlD+V0MPnxNGtRcNYmYrmEhBecitIIzE7f6Mo+z
zhGs0cuoLvMlpP7EZwOE1NhtRPzjtM+D0WmyXC+Jbw3nxiTTxWSh7q6D+PBjJkvfmYyJsbtNZD3g
lJjB/zYiEHZgtF8gVuJTHqWQRfATMDI0GQ/jlLSexYfo77xt1IUuumFhoZZ/ou3IPkHal32KeTme
gqcSi7AKLXeMIsu1ShaupO8XJ1Ng1R+KMMs9UueZZyV0OL2fdcOz0C0apc5IghYozwtwfE18xOsC
21URFpDzmXqngIW4GHiBjmQV5l6uY7PORkO9ssqwM9SIgRJLPR62ZEzPfIWDNc7CMXHu1/KkIHGr
LaaAVyh2NKloOJVN7ntZKgMHM9NVNud5cgaJgGwtxkF81r7fLY2PGLdVBM4QTQzgn6rpJGmK6QRv
s5RBr2nmoDEJwQRi/CG0ops6GYdTMArjmpR+fibraXKjgreBPTbleI2GgnM7n/rYm9qxWUic6ONU
j7HdJjI+o0loLVpKkkPWZvwo7qfhHMve8vy6HM4q2YDrlmFulrIqLMiuT5lMIIFQ+5GtcKg98E3d
WtfB1Ns+a8qT3qQ5dnKZF1dtMeSLFgwOcKBcNkeYEXNWBZDErFvIGgVhOp2MPS4PK1/0C0qwNdpV
kltXDUJF7aisA8bM6DbVDmYDBQ2opuElJMmbiMeQeoQUXFV2+dLgPL1GLSynrJyAVusI36CAjScs
g1w063t0M2pFWnuIIHVgMUiShg0oZoQ5OZyGfrqoEykPRc9GT5mxXquRdKUNGcOysjMtusE2XQGW
Lm/odIHEADpv0bQYHR9+uGJWFRhb+2F33Bordnx49Rw2J/LELqbKXzU4ZssI0WkdK18s+ypabkd0
JsOBOJPm4SmeItI4bZRdkiGpvULFuTeVobU0vDC1TflIvoz5qGLwDdUl7eiY2klkHQV+d96Wo7QL
VoVOH1t3qjJygVn+mbYpttN49I9hGImbogIsJw+aeqFU3XuwEUGWvh91sAnimyPm87p10gpJDxhi
eFhOPHNMOJ6TMiog3yqyW5lbt83EzwbS0AUZ+mzL26q1CiWx5RRd9UU4ObWyghVYqyVMROfA5Wq5
G/hZvdCJ+mzltHZMTIvCjprKd1UfBHZCa+MiZax1zksGydESxpuXnAGrIoKBxc5PhtI/KfMwcJIu
yD0RwVaPXdCuXU5THH4J2o6vkgGnkz22Q+cNaiouSybIBFslkNq3MxIehbEoz/M8KT9bQQKbU2TM
/m6ssr0tOykuJa7Z4KaqTNZtN06HJNLJkqVhu7LChA+wM1Gxc6bq6TwORH1ZBhHkq7NWjs4w1JB/
nITwBln7jl+H4TLVU7zoqgRCcpRGh0GMx9bGprrR9ZQdYW3R1ZSkXNduXwS0LxeqHZLkqMlvgN7j
vweRqxOsW4OcmvDioqvi2rJJ0fbn/jQWazOGehlbYbMwqgVVzDJU2om2wgBydICiO/j8hoWs6p0u
nMYzhk18kUMadtFGY/23qIFf2QMOyemotPk7SUN5mLAo/+SPEvl2lbf0Gm09pMBZaaNQhashz9uj
MFLsJMwa8yk3lK8GU/WHKQ+6o94ak1vDYj+0Qwzgwkaof97JMvuaNRI5HRQ3wgXzcUFARUp5iBPC
jmEbldvCggDbHrucQazbQFZ0tAz7SHOZeYnPcWJHXReeFtZ4l3RSfSaFzD2kJ+UEAWzM8CaNnbjL
Rhs43gSuMMzC1m6toXfFWIMli9N4FZddapeQYwR4wdsejhBVuEVIJ7vHyg2acnKbKLuCJPHnITeV
HYCVtyFxo9xcjxAU4/JTTWPqJgJ2lWzEZNW6HJjxstACkm1JVhybKSWwd+gDlfKCbPQD6rCkVK21
og1s1qwgXBLW3WjStoS9GL7GsIV0bawqtyHuVEuIYnqbWJH/MaWWOQanmJ4DVYw3A6bFx7hKqs9l
Ww5yWVp8xHbkV1Gy7AruczuB/TwIpkx+AfdM97nTFNHwJakF6ey27uPDjrR3Qa96u4X0zjHsQeVH
FJjtbV4i4Yy+bFxhJadT0aWF3VArXZpEVk4PUB0nXdmHtq5Kcwr/y5HgNAYyBFu6adx4SvHqpA5g
P7CpY/IB9P+ryRHsjIFP03YrSWJT30yHumja8wS21l0WpOH1UDcUHJfEHs4z/6IpaXFDrfILi5v+
CxuHy6klDYNNkLBzrbzHy7iCTRtTWtQBVUsv4Qat3jhhWNUfOEqbzPFFsxBhixZT17U2hxW/slTB
lmEo5DFJxAjGpW7lOsw0xKYxCW74CFskOVhCm1MrWKhgkFcQ6oA/CXT2xc8kcstAf2ID649QickS
voW41VCZSxaxrzJV9VlXmPEmmPxu0SW9imDexvhE66lfdrWEGSuUWlZBPNSQX4FJob78BLuW7Crq
inoRtxEobK1Du8+BU42h0Atu8aWhITmHGOQaDHJyNpSTOKwq2F40vRFemeb+ptDJ5KR1r1aQz49P
xeDDfhC3IIohNbDboeGVE3R9/iGfmgAYrnWRZZlZGzVmF35kiXNZocAVsSCnOOzoNxzkuVPEfenV
bRQc+nnY/l/2zqw5bhzLwr+IESTB9TVXSrZky5Llsl8YdtnFDVwA7vz181Fy91ipjFTUPE9EtxUl
pQQCvLi4yzkHHyp3St9Lt3DvHToZVbKdl9jov+aVsYnToj2WuFtas6LZLd1k3sVx70VybPpt3RX1
cR6EvO/wuHQ7q2YfhoN51LJ/SPol3kwU+a9FUs/HbtTf0rDyozxJObEIBK9xpEZUinB4TyjnX49O
mdy2iSqIf+lh910+ZDvZNT+EypuvbdD1ihRApcWPmpa1+c5q+vhdMMb5jmrJiLG19kNvG9O8NULb
DW8zqRMbLIhS00bounEPqpoWUrNUh7fVrOVDVYbVpnTn8JhmbbJrKGE9eHb7a5q6fmMuhCqaJvq1
uYx/+y5ZgyvtcktQRZKkhnmzWEVO7z+09qQTkWHb+TX73/3LL73HMiE2duI6iYgK5Y5yx9+tnfW7
2pzjrZlzvs7jGPWT990nBZny5b2rzTtiKI/KGWUiow+sv51Qju+ctY3nKUEhpaj0hyS2oiE04n9S
RH8/uqZh37VT+I+aHOMxYet95p5Hne7ctlbZJtRTTD/K8jdG5dZHM5z6vZ2paud1ybAJAKAgGXup
aPy6CsptUb7roXq7yqb5J7VWb5J2NRiBjkaH+t1gUIzLmhqbVEfy8fJ4ebRXJWpoDEh/IXCICiJy
VCc1V39yJ+IkX0dznbgbs+WfrPSnvUwaufv3Q1kgjLn+z3ZdXN/L8q7ZAiWxJ4uJpUHyMOUOR0Y+
WDdmNxSby0MB73vZG2JWlg3uyIGWyYgna2gVrjlLwVCVrvr3BQCdiAYxISfGu1HJVB7rAeO6POi5
pYTFawnqcKug5MmgbhZbtoFydTQXrKLt8I+nKdmRkzpvzA941Kv5saFXbUoHlol3spQFzn9pGkNH
5ZyKeCNjI8e5BflVYVPRlJQ/PjazRQVRLulNL6fpjfFXq3iBnGJ9bYHOPzc0rT2aE6uhwdmkZpG0
UVAaFOArJuip8fPl9XzVxmQQEOlmADaLXpFvv7SXyeK46EJbR11H6dYfU6KIxBfxrbSB0SyzDTal
D6d9rQmSLw99zn64/wNOPI1oLhE96S2GrjNZiS30WiSZ941wu4S6CoVg3zCl2oiECGxOu3h/edjV
Qk6XFTAksTlvlutHaH392WYRLXA0P2NYX+Xy2iqHz15IyS/xsNrQx34vD3fOYAU+xnRQp4WTebLA
iVamZQQzw7Wd+6BsdST5n/Yq9s03vIy1LtirmaGs5pCB42hetYaX5fe79JZ+/Lt9ss057n9OHbZp
ABm4oaRsHr1gMb+n8VpMGinFX57uOaMFkuH5IAvB/L3aNL7oaBqbOhJ+4ty5fU01P8HFXh7l3KLy
Ctf2lUnj86nJ9UerzJlip3dKXM+TFxjymFZEOE8bywFUdHmocxPiMgdqIIKqfLg2Uf80l2Lqq2GW
Iw51VHJnj/U3L6i5WvPSafTWGCdOLXM72+Og1pFldzeLp49OUN5dHuKscaxEoPWqXrhar4wjzINR
252OGmLXm6Q37Wu7rmiUDWP2V2rgYVQ1mB8STZulEYl5FcTiLY/2euuBVwBZihaTyYWap71Hx216
YdShihJLy01Xd94KVVLvpZGrq6IJq93lSb9eV8YDHhsSR9mWf7r3FGlVMDdCRWU1EaB4852fWv4b
ocRrWxT00LmEitKuLZ4AuH8aSAiuaNGFVFHWJf22bepsWzfDez+nl3F5OmdGYhIBTAjPcsGHnZhJ
2GbZMs9BHeHaQAAa7Tsx+w+Nzh8vj3PmNVk+VwdDeF2jo5X0+ueMvKYsRKj9Oloyc6/ldyOQ27yo
tpmKkRu5ZPj26zMWfOEfQ52csdSovLj0GKofQgr3lZNsytHvus0UDv1eDdXyeXaJx1z6H3qnQH7u
gMnGX7nX0NiDAuz2Od3fo91SRiu1oABeOktx7QZ5c92JybhKxnS5iSV5oKMqsekTukXkVd1e2l3e
XfuDnG7HuqeCPfee3FJmA5DoZcsbE3XgCZ34Zk7wVT+BDQDf6PSwk3IxRAhIMVratPsSAum9tYbg
0+x52fdy6f3rXkr6pzL+qqciOfjFTM1k8q48r9xnLp1ZSzXF1u4/lzGJUeel26ouPzVjcLPEFJbK
ulD7tgAsqDLhb2KdC3uTjPWw0YPtXxu50W8np3YietvjrusCsLNTke8o4fnvCwcsQ16E8XbCX+/C
ZNwufjLtHGYYslq2Qd64tOYPPx6rNw6tM7Zmh+AQQLC40N78E1uLy0ERfcysS2607wfugL3irU9R
kmtwmFMsxuiyyb0OeGA8cqmC64BKF+FpwKNqEIRjU9ZRGHTOFfXWcq8S3b33RNMd4yDp3qeUXh+c
LEyQcLtk7Ge2L9EcEs6g16D4nW5fncyDkfZeFVHmmv8avNH6puj3PHCnav7r8lBnJgnAA29ErYP/
n4aO9EXJN+e+isoB+Gk2WDTx6ASBTswrfeW1RRZsWxrs82a0KdpfHvzMPImrBJItLpkBOJOX7sMv
kp6yU1VFbVxnRzVWD8mUAPXIZ/2vwwBndVIWegmkV6574hCpAbVJbeUyAlX9ZZ6rcWcHU88uEuJf
mynhBoApgFFkH6Z3MqemrWughr0EV9CPu8Wj8CryD+PoegcKTz//7QI6pmBiNpd/0kU+PbaSTDaV
IxXTcksRGc1c1fQQ6em0UhTtG2v4egMyGKENoQEXxtsrf+RPZ6/AhqReXzIzw3lIhfFFLcHPfBIP
yei9EYOse/llfMpQpKUeU8PnuydDlSLN5soAiCEauRfUSsPalcBkh2WzVMM1Zcq3otHzI4aEouEK
gAtOjxen8YN6HVFZw3URNt/r2XoQulAwHjy5SXubO4L+3R53uBGUt7dGHYx4YpFuS97RxX4RGX1/
DSMicpziQ+aZbwzzOrBZhyE1ROmN6OO0oDAE5pRl/OloMGzjwfAr56qZOBEvT+a1F2EUiytm8Mzm
KmD+0jQmw56qPLeKSAsqWlR6tjLv//Er7y5XHQ31YNmKuX7DS9qvT0pGxXH4XLge4i1PRo3LpQtJ
+4oodGeq4DKkDFc1xXIzhXTpn0Dn7RxKe2PUTpFu/QUQcdWa/rGbVHIl6SMfRsKiZXbVp7Avil3S
NAQHa1igatt9t9668zm0Ry9KutZ94+nPvhiYFVgcFyc+s6H+SEyAJKSSzoaMqE5X+3wO82tjos55
+cW89rAsEbhKSkqhvfIvX76Y0lEcI5Buoqrz5aauh8gsrIfA796KWs5sWBcuGKhKlJ3IYV+O4wKn
h9NQ4YimRgBkidOryTOnw+XZnPNAHiEALDSSctbu5ShLbtpT0hsF4KEWZpLPMTW5sE/aVv4Ycuff
R9HkjMBEOTKgdYPdfjlc0EEIAHBVkDvGP9e105l3V+r4y+VZnds8K0h7lTknMTg146ktKmup2Twy
c4OPxWzRYovdnzRb6oNO3ODvUTb5FdXC9o2j6pzPAxEL44/D93XSQ+nUTIUzFFGS2B+6yvi+5Mmh
yR+bfLnHXb8x2jmDJ+2BJ+iQWb4qkknm6HtNW0RN0hTHkvus7kY7N3aXF9M6ZyMsInxGxxLAnE/8
atjbU+9Sco+CfjQfs9SsDwaI402ci0HSm/PHz7kFNaevu+GDmqvi1pW+OKYBmM5lbjway3mzs1Tc
7+UYgMfo+/yt7NY6u/Lopq47U6xq3C8tS8et6Y5lyWkzObQJOvXd6sJ6C6qsvcr84Es/UZ3wm5Qm
RiWyx2Ic2qs4rL+lIDoWr+mum7F0rqgihRtvNppNmDKPywt5Zh3paROCIkVNcfH0QJQ+z5BNhNtj
tfxsFqs7mA1gyhj+Xj1/vzzWmeVAJZaN7a6FWqLul8thW7NpOkFHaB9bP00KDrvSNb9zwU0V+WGV
7ymVd29EGGc2HVInlkdEw4n1KsQetJwnndRML3f/QkHf2Nqgduhj6GUj7Fl9VnpUO9AYQ/Tv57re
97lWpAgQTz2lY4TADYO2jsjVbpU3aqrS8o5qfLJJi+RxDtxkc3nEc2+SpaUMYFtkv86JG2OvjF3r
QJ80zERtZ2sAlVCJ7m5UYRmVHon05fHOnDlMkBhqvRGYYPFkB5axdhAmY2mnIaFz4ehxZ6paQbJz
/f/LULBN0OQiYAxOo5vGd7KurEjRLDiiH12plo32O+9d1lvWG+7rnI0KNtTKQ1gr/Sc2OgCJqxYq
A1Fb9g99Wv9yXfUgW95flqg76MTdv06OcGCQLmwkrWmfnG5Aa6LXZrdLFS32AsbPHz/pXu8a6gBv
DHTGMVNSN7kancozNI71ff4RiTTLCAIsJgWUifslmaZjsKiHN0xC8DdOAvoXY5zYRGjkRe44jAGg
39o4WdZct27rfrJ7Dx6ZHFtW0Rw37qibXevlyed61D5gIXq1faALin89aMgqo9PrTCDghGXtx2CW
USY6fb04Tnpnh8m0reYh/ho3MDHLFnAW2e28BQYbX6VuQJPCnKaPrqXB6ua07z8tYQnYqrLa4lCX
rT6ag4pDEqgp+ZBLk+iwzrJNVWT6Qzr56dHS7XwlXSCag0jLm8HQQxQU4UNWF+2WFS4OJbUivUkB
CkaAE8tNPS7NPu5TF7BwMb6vHQETMcv7w+XlPWebnOKQ8Okc0qc4sU1PtRB1PWwTmPB3NXXfIZl/
cIRxEGW9j42x/j9sO2Jugj3K9zSETsZzU9jYIpmrqFPpWnO6He3iauyqN4LX1yU/5A/pGlL4o0bg
hSfDOFORCj2FVQSI/I5LNDSYweBvVXymCX0DIGXbu/a3RFdvpEzi/LhUaVlRkuvTgCxsSlU2o0tN
pJ6Xv9LJhCWkHeMOoosp92BmyHGUW8b7rhjUTlaABI2+wpEre7hyQfm7+WhcCbM3DlbnVNsYYCgG
1xzpd9LBDvMfrjWQqEPQ3Bb+kuzCzvKovfjLLrHie7tw2m2wuGpTdLlTbLqlSfY5z7PrZPMLzof1
MQ/kcmymUR1gdPH9cnG3advle9/w7Ucl3LdexTmfjq4+2hC04Xgh65L94SMys3XLqhiqyOy+z6hE
bObRPBZWN7xhWed80R/jnAZGsOVLWYdjFQWuNLcV9YZtmab7y9vl3IHoCbiKrk2/zQvWh/hjMqay
m1o5uopoOgXb2a02JONf6iIFU9/Ob5DOzg62XrdG4Au77TSJ8DTOqIINDP7OK8lEl+PgNAcQoGCp
u+yN5TvnCDzK/pwWUPZeBb9ynoWXg6KKdK7v7Nb3tlY8f6ml/tVlYBZS742VtM7ZxdrzJoEFQsAd
2i+XcmkbyfoSp+WTTGF52dZ1sOjxyqYWv6uFkUZOo7rt1ITiU2bGaTQnkBoSNEJugiQoDmHtzJ99
KEHQM+LEWd5Yj7OPh0OkjET99hX1dpzi1ihSwpxRNb9EmDym9nAvBTiSyxZ1dhyY0qu8irdS5l4u
QzsYc9qAx4vIRBuqOdyMMRvjjrtY3jhIz4WtFKcAbXDFT8j/Xg4kxhAGB9jLqIMzkrZAXMfqTtfu
dR5YH2StHpAOeKNQcc6A/xjyNGDNF0eC0TPLyBhRVujrX6EjAbd717oe3sg5xDn7JSOlSUb4SC58
khd1Y+A0y+SXuBl7/talzT9jFnrbQVrBlvJtsjUaZClKPPI+UyvXwLBWZKYG9BcO7ReHosqXWAVt
1NswFmC1wTNKO32fLGG9Cyopt2XcBofJH4PHwMVrbryqBTBltNNuKdbSZm3/Y442dJYazYHG/JbX
/S1QnGbfEfJlwTBuyllk+76c7fsG0DWHve2+YU3nViFcmbqUOLDb0waslE3bVvAToqVZrpZuQd/E
dL64jfuOmumXLpvHNwY894pXZhZAGZ9i6+myN7mVzIpgKMpUaICL65F3Wch+dyKJZYy8CJj0yxvm
CTtxEhCCmLGZINuFNPPkTSfGLOmSyjLyyiXcpmPv3TspKimVmN13aS3lY2OXwS5f5S6e6AJB2snH
skf9pwPSdzTGEeT65Yc6s+4EGysFOoQY+CrlDb05KDtbyKgIE2ef6tm7qVLCxjmv2y+5tpYIXOSP
y2NaZ4qYoBKo+qxeGwUk++WOTiZ3QWmIHd0uMVBWkTgHAKni0Ma6PYa+hziN54KcdOU+THS6nenJ
wLxwrN3lBxFnfNjKCweOYZHmOKelQhNohFd2WQlvORe0RlZeQybkcge2unLfsTL+VZeDRoZi1W4S
SRHZMkr6qJlOh4+jGM3DPMfmX6lD4G13i/kXYXF1TEdMCsZUcQDUh4pIn/6aAWPjsoe94+XpHqyw
s9NG1UWpp/z9lPb+Lkje2XUh7gtRTR/YtpDQkHJYvqRBH15L0/9q9nPxRmJ+bv50wOCg+2uH/rRw
RLktl20nmL8spvsUWFo0eVP2JbOM9HB5rc8NBfAarAFsdI6Nk1OTppNS5XoshbVId40KVjYfkgzX
SKIkXy6P9fTeTnfaWv0VZK8cg6fpf2V4sh+RkouawUWZoaNhDNlrcaxj3NTDrvKl9c6qzfhjN9nj
rW0byZ3dGeHWEbI5NpWpr54e6P/lG5413F6oPv5HIW8VY3jqvfy3Q/RKvOFEPPJ/Rdyefu8PCQd8
BLVRYrsVCIcnf5ZwsHwbkWvAo5AHQXOCA/yvhAPCb8AISKGeRN+wxd/6DRaXa0K+Qw0BbCYi8/a/
0m8QL1P8dUQLfN6affrcGUC4+9KRQVzWlTUW7q/Agv8Z7u3GQWVrazZDtjy6bt8U3x0DZZ9DpeZ2
dnadDdlh2hp1bP5IKu1UxraGMuSzCdy530EDqVQ0kqG3N9ItGwhVdTG5zQ+XrGiqd4bnyVxsE04X
65c/1XP/SZKly+80upv4b1EK5d0mXqYaKMJW1vIoToOoz4fUMrsRLg+JfNGQobtl+d7yZ8UjJ2Vp
ze9sdIvyf4x2qPmdy5vx5QnDXQoml5eE3Mu0XqPNcp1sfAjYGe3ENPgVj3WVq6grHelE0hla7YP3
SLoMQEXWyOwfacYwEt/wOye+gPHXewVB24Gr4k3xMC/f0ZJTYPZML/tJr04UyILV9HuBbIS2ofKD
nkbwDTuddokDK8wxlqb6ODpiRlrOchZvFNfASaoWLlgNity6RZFd8bPLa4QJ/1Eq4ioDhKaBAxIA
0XlZzfLlM05pZtgpNNufHvUVSsEJCBNfHWTgdAL9It15HtpFZvxWq+zk3azjOiE1UpveNpTP03Gb
fq59aIHBzwT9rdYjemxky2kGGybZjHnWZx+qOO1AHFGFJ7bZXJ72y6LDOm0qs5y8eOgneMu6LH8k
pYk7ZIY5peKn4Uv00rbuSG/qOxvJ6K7qJfPlbWZYtXUjCjX39wW8wiXdIIMsWZTLT/LydOJJ3BXx
ysm03hNqvwIVoEYEmr+o4r/jcKlcfaxVU8bz3ojLNpyPc6An3srlIV9Pfo33uXWRS8mB2pxinlI/
BXg1m/qn443s8sNseVARDq4e+9bZZ0HseN90z6qrTUvVxvsG6QC8yn7IarMZnw8oBH2Q3/z4fDT+
KRNzEpuuC0Cizi5howrc6WnGk0B6c8OmM36kmfZLA34YylYpShR12tI4GglKnW1WtrPdgD6j5UXF
JzPT/r5sPFDBKHPp6j4s4YtXO+XW2v5UDlnV/ri8Zi9TQccHoEm9FoQmapmAnU6bof0YB9pUy/Rj
0p3GCMy+MFkscxqFa2wm0JnGfWOj7cam6cZ6/ZI1Sf9vF4v6PvE7QJcV9+rg2l7abaDstptbr/5R
SXRijG2O94JAO8xmRyQvUC8rvrdJr4vvZe5WeFQNLd1yIyj9BkQDhbrgk+efU36ryhY5vKPw19Tl
G27lqUT1v3HQul4sEnCjFVBl0i09OZ8mMVbgRhfxo42BBCLA0lG86D+qpcuaCob+rHg4wy8HflbP
itrfLiiW2bgfmya+akMtyT8hDpnzuzJVVRdvKkAJCGH0UFbkJ68Mk6XcUnGacIm2kc9WBc8mlPzV
IotH9Ray+SRzwFPRZ0eq1TNBCXouxvpy5bHMCgDc0Hzz3drN3S2aWy6mCJkpDPXWWnwD1w4T8sl7
yt7hZ/2TO2msOOBH09gJTx3QDXx7QzunXhxYF8GIu7a5aM68MotiKtoyTpGUaTS7SO0F8jfOjW2l
Yn4n2n5mOcJ4kMtjmU4zrN8+pd+WbnH4o/cpUdC1Il2iY/Cojb71boPMWwOEyaE+GB6L3l1fT93C
tCpgXUJl+gS4tVgeF+kVY4FAi1wPrYzV5wXVVZjyTYHU2PIYlHChYloL+cyXdjETkKKN2wooePQ8
+a1iSjICDPU0fBiQqo6boJ7gHmxqggeePDOqNTboGrcsvk+tV6nmEA7aGu4dgT7te62LWMP7KDXs
KsRSSlCKDofr1yqoYudxMAcyp70fJMQZg6pqQpTLvuHUhbP6PhQNtM7B/rritAUn4hkJ3bCR3xaL
vkaCgozpN+1mrPNaXolejTiKyyOeeqMVKAkmjHObW/PCVyO22mzTsRTjV7H0qzGOoO5xf9QgIWIe
vEG53jda8AtGONp91yY3Po4FO738GPbpzCnr0s3l4IIsAqvgNItb4FIrA0LrY+lUZYciZt27xi+U
UtRaVyAhtfY69uvs49AGCR6nSd062SdBZ1ORp+03ymHT2QkaK3Hg3U9Cy2DetKPlDZ+6wDBRFHWX
qX6HEUGJzE0nzpqNE3vWutlTEzush5To4irOi27d+QM3dH4AgOmjSyUKLabheHnGp34tgN9Ek3Cd
NbMVr8gxhRen1aha//PQVyZBrKu1TRA7LKvdgg93nCi1xgmznYqQxHOTIACwujqvWU1a9Plox/fx
5K3ftFW2lDpCs0GsLlKB5bUOCn3gNjsu7ox6yi4eyzWmtiiWsDt9S7GNLk/pBNgF+wUoKscmXo03
SJv+xFUrUZVLnVf256BLBXurAzLCA3SGgI/9ex9zDeDMs8XptG5xfOXqUnSjOGiM1CKMtyZ3/Vat
Cq7ElWHuO1E2ohylNmoea+82VhOfylKxTnFOkGo+ICGmxaEJ9CBaBGOrhum+MbWTKJOp0aKj8c9W
AbtGvPfSaXdTYfmyr+fPIoF1S3NHK0wLPc6s/rszg8KuNnNXq+XRt6v1fCyN2uKFTF6J8tR+KT2r
Sw7A2/rxM1GqZjlGf9VnuBbDgjepMiPExBwgQ6t363GbUYZ2Lm6tIyJhwAxZDv6LHMtiKcrEYSk6
tKCMbuvKPmdLpCGwnG77vD6rK1xvFP5vYnsmwDrZo2B/KHNxflH7gH/+CnthjYvj0a40HobSR2Dm
8Bzeots5DcWWzDJNqrfcwslxtA4JKwdNcY4lGHqniZeZ14SQDSTptrewENhPHQbF2c/6wASCkYqa
rFFPCGxLMbPgcogrQhacHqs06kl2H32vDeL8EHdOgDNgQw6fNHfocAKUqMd96qaKg+r3a0sAM7OU
kwwq9gq7aH0dCfx4lt7IM4svyJaEwyezLmuexC0KzqbCQ0LtrZzTCQU29Ufkw+TXQwAnYQETfp1R
EQ62aJZP80Oazh713K4vBOK0KLlCv0abVM97lWqvCTZgtMM8RXwBrbJV109MLjpBqTLe6aQ0nJu4
TH2xVWM9JX+bmTQj1O4cpPeQSJE/nVwu+lNZe6X+juycHD84g2VOyw4JkNBttor4se0PQKGD4Var
NJ5Q6SvNEqlmU1vhrqp0aCH11iGPtqmnQK1VsWpAz2KbTMXAZhhoLSEXMhlu7uQHMG29c+/JbnYS
xJWAW/fHJhxTKyZ+ixMo46lPZAbuU47oyOgUU2yupgKi20a1Te4dhtBPxM6FNLk8jF5tZ4+9I5N4
J5zOtkDKOECdNh7gzxC6sz0W28SVSUTHukPE2xyXd3FYmUi1jUhQHFA6DVJz3xR16UBFGZLC+BzW
IA4eYNWJ7gZVtMr4xInh9z9d7Xn68+IjAlIjaV/TyrkLp0UWxzijunFYkMgq601Y1MIGuKqXVgU/
rDIPqp8pzcthQsWhm9UvpDVQhNkWACisPOriSrmIUxemK71jXBoFIkWWbxSoLHiN3cr0VxqA/GGV
UWSgpX2ziHrApBeQDU16Jzyz88x9VTlN41/1YZyl8j1U+kLRfx6Sbhzej26cZNkBbMPYu5/iyhbq
ysudNAkO2Ionik0zLCbHumyDbAw3ieF4qtul9Kzy+WpMWiPNjiNqxh5SLOHo4GCHJuvdv2qjp6x8
hXGMRrwdBWGLdYtYRM4f6cDFTd4HCVSNL93zN40sk/wMbJDDcEsNwunH0kMRGa5zmq6JHVmTYfj+
ds7dovePAJStUiKuQK9u3JguBPvhfQKV1BDfpxi2Y4gqdhq6yYd5bMbG/5jD4h0l/Bph2M1V0SO7
M3zwcuFm4UaF4RpV+7pz0+LRT+LYWN45jmxZKWNWuOwbvLZK3XeGiLUv31sZwn/yY56P6ObsxxxH
kOzrDACQ3uKy1keC8yFNe28m6ZypndkUuUa6ozMNt/rLRqCY8cpchuFnmElKbTV5MCtrB33GCbK1
ELnij/D8hCwbpcI1pndoZ6+JQWpVwjvk6biuGLpmBV9q2EXGfVX6q8t3hi4J/G04djUGsFTEG+iY
6ZLPNc9TTTt3YflUDgfa5yxpY0aTdGz4G1a2vh4LuSrb/WLJaV3nyglzaknoBiJZEBlVEaTOL6VI
aNRBZxmR1hYZ/RmRDmQT3d7gDTq96h87xBCzivUy0qU+pj116gklWH995Iw33Sz3HpbFCIIfqR/I
dK0G5mkUEgYEHQ2+J8NyXZphoPefccQGauQZhqpl2O3v+WhNEf4HBbeU77lTU3v3hesg2L11xpAC
0KaBAMha/LaeeGlD/qSfG+vkYoSl+QK2ejX13zFu6C4I4ZAAtm5xI8xMG/e/l9p4/vh/Fvn5c1QK
7OLGt5Fh87dWZaTDjyLzALkcM3pgTFrZy8Qg8J5XjUgS8KQON+7zi6qXocPUyLx7nVxVVjijoWIV
6TB7H8Kyr1mlwS4lH7EbamwIUIUiRtKkMOc16E1KcJjsUR9RoR/h8wrWDTsIv/Y8pxRlh1ltUa3w
Riua+2DNzs3nV/tsHh76r6yP52T8xh4A+Dr5yZtT7DSxnkS0UgdVEL2da7SY0s+LkTl9d81Mxbq8
z4a09HPPUzLJ9a9YmW4ZhxueBNbVdun66M8Laizjwn/UUtSOvzdM9Mbyq4VLTabmmKwVLXM/Zn3N
ng4RraXy0Y68XzA1tvpheUmF+bQuESuT18jwex9aatnrH7SH9YszJAFfJLqIfITG8LpMVe8l6fi5
RyY2yQ5VEvB3UyWsRERFC36se0c/frWVLG/Dzj/+XvIwHzSPM2Wi4I9wAtQMnjdZwTk/WGrxzM9E
bnkAe1aB1ci2yDzEDO7maU3KBMiH2qakYEDJhteU9ld+nazbued85XsF/MM8OBQEi9OMQlgrpzrq
nNosy62kOY+qe9wmlA0BofZ8Pu1UyxeCRlfelqrn3xnqpPfNNUeLUpGili9vh6KLKQqMOmd0K03q
4dGr4oksIJ6X1fbHEFeeHyahbDxMoFPZB3uJ0gwfmYwqDtsr0Kd6mb6a3pTjbxJZ1wWUkOdyct7J
VOeHPpXku3/PTssl31GTpyzHUTztGVWDauK1x2MRL48iDeqx+6y4JQECRvc89SlE9avijpBpKZhR
kYxcF+EtpoWX6zQi69XOmprVaqhXrSb+XD8NVr6jubF6ALLGpssymy8aA+fzKqMUamwyifLVt9Cx
iypEnDabvfJGNJbmE95srTns4PYtdvVcZFksV+r40FcKtaSrJFYLfwP5tbX0FpOWUzWEL1VQL41R
v/C+lSW5E2xMSWGCXmrhrfupc8aMInyC9C+uUnjxzJnXznia/ECuty5en4m1VGCjTE8tPpfoE7rv
9CyZ5deR8Cw2rse41Tq7DQUSvCmKVRx3N34RC6+7cyhjoXg7xYglpAdvbFzZ7ihdwAnY+BSBvG9O
IixScg7DkJcPsWthVl5VrsdGCdKEVdO2Bl6ze17JvKupRIvMzMRwPaKsFvt3BRoCxr0mmKaqsDTc
r/INf4t9GWOzsAI51LzVjBpakYqbO/RapZIZ8SqRdcjdH803dBUQDPvhTNKTt56nmjk+QH9oOwMA
iJVP8Z4TTUh3s/LalLENpOXrRyqSqO48gGrOk2Qbu7NIp0+jT2yjfoZDNij7K/dNUJo46qIfynCL
EH9bPC5Obzv1pud0mEj2LasmpoTOF/ZWj5WjimpvB75p+MOGqy6IP3e/Z/L8LhX8CJbHdcW8TuvJ
3Ug5rP4vnJPVmxD9r5s3a8v1E9VT9T7O7fV7sKgMPrFK9vIlFlQnyj2Z+9rbyGTcsJUTosX4FoUG
q4GzPPrrrgzL9Se/TZaYEk8Uos3Oj57r4as7NRKYurOG1GvZ2gw+9qkPr3czmhXVcwcFpNC+GlW1
7vLEWNZyYEufiC/oDOEt1GJi345J/+GWuuX65EVGp/Hb74FcHXKkKUzFuH/O2Kos5+aSTV41vXNX
PDus4rnQqAJrLUYbUq1FyFZ72nF2ZVKqOkYz1uuN/2HvvHrrRtZ0/V/mnhvMAThnLkiupbQsK1lt
+YaQLW/mVGSRVfz156HkOdOWGzbmfrCB3h0sMVV99YU33MvSG3hmjGkgZlyWdr6ncYWruAZU6/22
5OuGM8Dlsa4zT+6bfLD3MWParWpfk0G22XUZe8XUte2hqBp24/HthdAH3oNeHfp7iuVOllFdFWA7
gvAPja93BT29HOIDKxj9pd394H1buZiZIdCvtu+Lvve56yDPFbthhbB4PRroxZpoPtJ4KeKlHPd7
/30tvbfX/1bb7ZcHcYaEB6RW61fZfCFVb6wA/e5/hMaKHjB3QR3ATvr9pd4NadhN4KVAMMK/dvir
v5f1f5tQrWE9hhmp5H+tEbNWfZ+MQ+a6H4OImRUR2S/2jyqBOLNIXOHyyX4Ex9/fy88tBA8FGrpC
cBrAH8OUZqT5871kCxyNma13v/Md/C+lZ+35OArPASyentT5T+/51wvuEkIM3EFt0Fx8ryZUF8K0
mtbM7kaFnvOXHN+e+SLQNWHux87+/QO+V+HgCend7qAgkKMQcd43MlVTuTh4Nf7dj4iBOsHetNc+
ACnvqNwpXI7VkG3iVq4It6Wt7PZ47ghCgzFtLgfRH+7o55XOO6eU2lUeEHACmsao7ud3riPTWAPt
jHfN26ZayevY46gaZ8R1sHEln6Bw8Zqx08jhcCC1MIr9RiqUNeSWLCOV/RGmMnDCWBFaNHYww8gf
Z39k1nWpHerJZH2bZw1vYfb3D/H+M/LhIIrAdYBavHNU3s1MOHfH2VbGcl1M9R6ZttdEaJi8Tt5q
I5TuH7Dk/3Q9Dy1FxBwgEP4CcwsU2QhYM3n949hTeYFbjtkTWftYTGX+P2qtYcVhhbvTORsD/Qg4
4e+mcc6a0Yleyur67VgiSd6/RlBDcTt007gfGL9/oT/HH/qzQF5ZqDsohbEt//zzolj1pkqxeTWo
MUPUXhK0beB88QUb5k9b8NdL7Rwfxl4hSGOGvO+erc3sVsvcR3/udYq1eHRHWEf22PJ/v3+qd7M1
fjsIDaBS9q7CsdNa362TzpyLrAK1/M2saFP/2Fa2X++ponDavZxcw6VDv7h1hR3EgWiYdMQNqeiU
zKDWgk/VCgHg/g/39QYR+e+AvxPveQWwkJCkILT9IptkmsyLgrJAKH6zzWI62J7aURISgxbZ/xu+
EIP2pJ9yer5R3GYbVWw8e/lstVdkEUCDcI2qBzpSJ9ulJ2LetJmX5/25Jmfx+utMlbWF4GBmMwp7
msCpUZ4hjul2I6hDiY5KYvamP7VpKDxagCcHYTDHv4ne5oy1T5HkfMy61hrVhzovlggoj1z80qJX
UwEhOacACso2RclnYIn8SJwCgx8r4vot3aFyCDnE/Nfw+lYC1a9vcwVty5FCybqnJ+tiGyTaPUj4
5rqzJa+b1M+XwbUzNXuSabzlXANDW76bOYSIE8f1NLfWBhFcRF2Z+kMAVT3+r1bMyHFeIJr+mmC9
ZnZM/Fbe7zaGe3IRjAsdL2oe5DQPQ9hzScyp9gwG1HBW5lhTtBN1HnOGpmo+OaTjkXPtI5zmDheV
j7YhTYppEfR/9Vt9GK16csa0qGVLO5jOUMD0I8aCIMTuwZB9vpq7PDGoJvsmGqMhWA/56LuQz1B5
XLb+gTnIPmkjN4VjfN3PE8ONhxJdVDdPWefAHI6FGC2rSlqLZPjfmpJ4Ci89X632F8tT6OBf087L
htsOakptH6puQlYtHghoak6Qt2XGf+h6zbdNV2VvaIHg2kYXMiFltDwYFK7O1lMdTfME/66p1pIq
PwoF81r4t9OZazbz+tU321oXaeZSCAC5DrpWfEbJMjQk6tv+Pgr8ESNH5vS5fwpbzpPq2BWNb0uy
+9f8j4b8nr/qbt4Pw7elAW2aLBUcY00pKaBXok67CNNvLSJs3gfchl3XdrzWxhI9cLj04f3QRUZz
bEsvB8Gd5+u9p3cdbl2u2VnpLs75q8Z1K9RyToelvwuQok3ArxbXQTnDTBndRTxkLOpzdAV7bOxc
u/haiaH5nJtln6rIyqiRsb08owin1WWDoA2Bk/c127FbB//kr+WA50JR8HVNA0HVQLmHqi/lxw13
FvNAtYDcvjYd5LF3zepikPfIgAxXwjXyq3aZcNScaI0DkMnPF3SJ0iJaw1tIwyN4g6F8eRWmbooB
7XS361Ivi0a4GXZ71FnHdPpNmBp+XJe4VRccV37lRUid+FWoXp7Zushexqhuzn7oUUeVd8S04Wc9
asPp808rdgHPDXKctBhk+7CGdnkw7dm8RNqrQN7aMJwTukHbUcxT932qguyWpmYJjmp2ohc8SVzq
LGuw7ha7KkqMGTqQxVM7302LSyOEUJBOWkkshnbinteuYYJYfVaEn8vFjvQFyAiJFKlbWYdeDjPl
V4l4fbw4Xvg9nL2gTY3MELt9TO+l7i4hrRanpn5r+ytvmq0xycKifzaraTgpyC5Xk2/tKzTz9tku
UrSXijT7gxnUywVdeeOyrBG5TUOi34u1rg4+H0jkF5Tzg/G0DuP6fUQkLbFLa3v+m1h0tCHohExh
MzQxSC7UrWFe1urSl/kIv9MaymttoW8FOloly+o0ziWAXugkQo3iaA/SvsKxD4Mcx3v0Vv3NlFl2
7Vpsn2WSc0rL00SQUbVLkHq6dw5uMHfXA1YYT3rAXgntBDnnGHjWYDPqJCghNaDU4bjPTMz72LGb
7qyngRHbZjvfKhTfb6dCz3VSz3P+aSz0+FmoAUuNUUmVZJZAvL7i/pgEh/QC2XgK0XRXhetNZE9F
k3TbUj1XqNjHDJ/ax66HGDcMiwV/3A0vBluE+OCY2SV63Yhqh746VcwhFsYhruSi2Rxn0oCvnMv8
5IcoecYNcv/PwiDZSkPyRhxMqmm8weeoPhLo4cVG5Racz1Zf3IAfAnOyFuIT0nXD2SLxpEJA238W
TvZppX7/tI3thr7x4Oq4Gtv8u+aFnBVzIOWB9FTfzyLysli4I5PkGk18s1h2Q516OBvJjy2kL6fo
U9TN0VcHyYuHSmT912Vbtu+SBZ4uWI5+cAE8nOF/80N4mbzXgOHaLSdDTPWXzexx8mwgaO0mDe51
oU2Xs0wRkcyqDOlTebV/jrMFbrVTV53VnhSfwJw53P9iX1pm5xwr35me6BeON1FXIAqom+i+bcV2
lU/ViI47IZfyvC2vO9ecL4V01xssOMWDCEP3m1MvBAd71Mu1i2bQAUzn+tFyZnmlRLBelKtCobeX
GIRkfuticgnzIKYdE11shshOWVaI280Oi08hLZ0nxIDmBw78/JzNFnzYLGMGW4XDVxNlHs6rjeUk
M8ZUabhp5NVMMHJHfC36m5rRwE2u+mFMQKyYR7FW49MwS3jpmbdtJxG58goAFUrJRts/5A5EFWJ2
qxAGqsNzHFHyZBk2HJiWHB0HKYwXI7PBxp3goG0lfs+tIgdPA0mrPTzVnrMEeNj0KPHNGMkM2Wk1
hvyG7k9zbbi6e2xm8czP5DSgS+txaslgKhlU1yqqgIV6g1UiCD7YX6SRyTVpitX8AARJfirtZRnP
Crtx3CRCPRAngl6Ex8jET+SyLfAuY74MxW1hDp+G0dYGeEDP0RK3TtahDQ8O4UobY8C79s11FjgV
LwygLCWs9aJzx/ajgyTybdBF+I76ShT9oYgGcVfl5dKivoc/01Vb1n2ZGqLzQGpmmWWcBcs0bXc6
7IQszvbUw0yjUfVNX/PWMBeqL2t6BaJJrIDMJfFamS0f6OJUU+JIK39Ygw1ziN5s/BMwwsxKV4sU
8WqmQTA/eiVVqSCOiGH2fBKnvAPudL7MiF97NjSt6mFzdIaKu1ajGclLm2CHYKTLpOJshBUpsIKb
PHkf4WWAnJ6dN5GIBWLgTZ0YbqTuSwc0T2wXbnOLIpOxna0UwDhoBKNtnnDXUl1iC+YLH4KGcJoC
3NvSno7bZWXPuGlb+IbNhlZT9bHRhh9tDq+/M1Wb0j9q6x09NqCd9XFG9D+cU42sOHpB2LT07IeQ
sWsiLW23B9eSTXHCzLjy47aj/ZxsiAh1sdNqBlKBrOrzrnS9/pCv3voB0TQHJyZVqnP4PKjzY9BZ
BLTqIBFd1LkYGJNin6xje2Uq78/2fG14kQqStsJ4JA5crCQSTS/x0UJV+GWJSE0cMWj7rO8zyzng
rWNLnLB9VRh9AmYAiNwaB4V/pw23D0jMZKhRsyCSzvyB3jRKVX5D/X0M/UMxNAMiJ6OlokPdBlZQ
HAZ7N1bBY2jx5SeGzG2GF1voPufL8mXbivxTXgxf8mjwqpgyob1fwZwcMNPeGfNyNAkSvmAsF2xX
jbaba+GU8rigSZ4MI8LIMWQbfB3a1mvvRYd5lxC+jmVYusTXZW6/zXmGsxScr10LGn+MmnMlwa4I
AY6Nw8a9iabCuQ8ANom0XOhBsR5YMDE4vfXF6of6FumhKTxMQZCfpr7r7+U4zflBqnzJLuhm56iF
tyq6aPtqTLEdaY71mHn3HZL+hwhi3xUeDcYHu1bulT0wTO3ziaF6RFmU2riPPXcywKFD2XaDDgOH
cGpGyzgdBsvvr8E1rvPFINYsjqbVVMlYQ+t2/QnXlchqM1gNADXlxeTzcAdN8/1+y0T5gpl6M+7m
F0sq2JRrvOlaXHPKc/jDlmrSsiK/4BayO06d8iiR1U5kNxSPVZlbX+gIqiNgouisN6P2GAxBdWNU
psBhwC8+m137qalAqOUUbsfAzqonLLbn3S2g759w7xWX0nZwo86EqsKkpGl7mQ02D52bdN5LtSQU
4c7HirLkclmt8htU/OBLjePv59pyVuQXO4ATw9hfOLSyHxkK2PUe0xTMLgyBP/hYF5K3Ehz3Reh+
c+u9SNddu5/a2K587ZfQKA+NXzKgpcnd+5imdPizTKJUMzOwraeJGayVleA9BgEfh6rKw95xsr8W
BZpfsd1wD7gFBkWY1PzehLYca6LQg3fR+tIOUkr4pcG8gOP7sh36+S88qFDDrAeEML5w8CLdERnh
upwbMx51sAqN83L07E87nuFobUst4xJxnY+ep6qvcgkHjgcqz2MvM1BafeY5J0aK4mrQgF1ikZPS
nNQkh694QaLoOtH+XPD9aNS3edbsFTYldZoc6K6+LEzTlphJ4XLoqsW5pHmOofJa4uJ3vsNZv6Oh
tGTHNigwtMHkj1qWdGROm2zE+9kYW7DI5rZ4j/PUNE/BsODZNzkT3jjGaF7LNbDumfqFEWglcrjY
n9eiOVtJqi6Jft2KDV4B231UEakn6BKjv3aK1UJRIdsRgro1YbwK/IjyGKQMiyhxsSRBjGA55ovP
iKetkQElSROHvYxdkkyPpU1Oja/69rmbJG5Qdm+tqKktU4YSIYu334ZEWDJv9Jlh2lXnfvSlAyGt
thAifYbUFxhdgtK+qrIjg7xamR/qovex3KbaVu4Qyw3LFpkEHLieTgvmaiHOOqDMXZ2ivJy19ZUO
M1o6ySQpwIabZqFrhc8T8PNIHoUcxvJzntdun6crW4XxDiwhB+GGRY34ph1zcrXuQhbSaP+NTKxa
vEMBLgvbLW9kBnifmTYzIdxLqnLuUrzIDLO6qeRQ8x0wgpxKiRGVZDaxAL/n8b+3RhSgiztMVafT
aCiU99kTno3x32sT2Rj2QcjcRHvL1rYyNVwhULxDCsAx7PMZ9uEWvORuhovbGXjvjf02WjiqP0lU
49Ba7UIacAaVbVatPkcE4Xh+lAUNhfCE5RHO7WYVmdpNZD7hNXGGTK/N1+LIq/rqq4NqzdJiAjNL
jZ+K5PG2uOxBf+At6k1Om907s4f72wFb8qJ0Lk0pR92Djypnchxqh3w8DsNu5QR8sE9r0FEfbEBm
pO5DRMTUEa4ic4hj1By0Wg90hxc6vGUC1Es2q3vIO+WWzWFYQQJF9A66PjxtpH4hqiXo/TKdW7Jo
QA/NHSP3EOjNcc+YR7aPmNI0nwxQPzN2QpDiYleydw6gYNoXs6vJskDlF6I+9P4UFekiwM+oeLNH
hqKbL/Ur+v8yKvMFwwlvOac/XZ4gQTpJbfvyAz5Huj0MTguIbIkYUA9Gc19Fag0uRlI4lGm6Qbux
6ta6OxOzCbpShcOK1LK51Khl7b5EyCC1GZogoSvT2dn03VTCoCdBMJoDGSgVYlYNnncmfHdu06wN
1Vdjy5QeYitfR+surMvaS9ey674JOKsinqqF0qDbjIVqRFRWcSCdEHDdC69eXnJD7R0XMmq7S7a6
yI/wx5bMOLbSCgEN2WOEEonp9v3B1SbqAVMfPDULROIpCTI77xMaiqVHhRro6boNfVOmKHPK+TOQ
DOAcsRhA/yVgTUaMtqRlg3eiuXWdU3m3sTuSh+NuJTG1XZ06OATYDF0a+QQzH0A4pA8wf0MLpMTW
qPaFHca9cWDMxRl8Cj5MoHIjdsD8nY9DM1aJpGH2dQNIwdrIoltpmAg/F9tw9K1B3Wg+dupGWRgd
KjAf3w1AVTQPqyE/GYTh6QvFJW6wQdUiIjSBryrPyWBQLHADr/xKiHT0mbO41V2/OtkH4Jv5Sy4s
3ny4bgoYXYbxab1tJaasGB5/ChEZvFlFU/AI0OuYWgdtTzQNWkgUtRfdWbQPgzSq+vXComlRpiuY
nb9Wx4XfiISRe965VQVsUnj3Y5ZjsGl35mdfTPilBuAjC9FsMAemTcfwsvQ1XE+7TG05LZDNmg7g
flQu0XKR+2I3MOs2YKp5tipuN2p2yAbVcDJ0gbaPTK6Y/5oOhMc0X7A4xU0RHkYZzwMGnTglTCNJ
QaenD44c5Cm3rQWdbC8fgiMAjeFhVcEMGnrueEpQCsEXV+AOsvuOuR9HY894J1TnupicGhaxX2cR
MJl6LHEhXMIKRBjtkputpQMQo1M3+Id6AfiXOmZbHrZR8TO5B8wPOEs7pIuDvsOE+qWdTSpZZ08/
BUSL5UrNyB+kzbiEd5MncK6ZDQ9XIAzm6QK1dv/BaTL7KiyaOgC+lOk2FlYWXRlGYX/VTVlfKmOY
bsAQVgnYNPsZto7E9nDC4jApvQnf6GB1S53KVVdY8okQ6wiJKVhD/EUa/Kqy0C/BBnX1HlGyHLAk
nKfaoRnQY9HVDK31VGIqpOMWgMh1D/LFxBMbDVIc8GzYFpjeeu2htariAcs1sWKixfm8kJ+nhSPG
cH9v/kcY87ShHbvPrtFBcD6PoD/yGOXgJ2dq+89ixn+sKDt6jyA9AXDlC0u+EU+5sZr4QU3KSAwy
jw9CQjua6Lt86XJpXIiKTZ2Ksg4+znLuL2dvhIMigvpEXyA4NzIzfKRjXAYsg9z/Otibc1CuOd0t
QtsX2DPOOF0v4bpna2YLpKejxRNMU3g+OUXnp1tkkDjhEaTOOs9emjtYvGWKUeOUCpa6m4yOJw+k
L9ZVp/sCzOJqfS4yrTCFnK14mKQJpdNDwyBs8HAF85giLTN/Ckn3zyw3s772IOM/m/yIh+coLw4q
wme4QOEHBfjgbFhmdl0onwFOzzeDxH0oRjrQtNgH202UGzUZjYUQPOeB6CgzJicNA0Az/PRpHW3x
V0WzIw0VhcqIDs0Wq8LqH1Gud+8r5DDbxKWrfzEMncWIDgRo7TjftKT7Lw71QD9IfOWAqlsspkN4
NsFnKtq+He6EO/Wuh81oMRLlpzDcMVNihJcNeEHpqh2ZNTAI7T+6GoiPPlttOCR26vSmmosLLF/b
asNKAVrSp6xUq/fN69weu68eUQoXDSlhzgZGkZ67CoJXDcqGWRu4jSqykA1OAQRaG2ljaGoM5Gpf
mOpCakUXM/Zt5R1dt1vDL37XzQQVFOIb1RDHvML0UvI88BOpof08B2jjgv0CJk0aD9pLw9Fm0wCv
x8tTL8XQfzdHrFcwXKOtH4BBHFYsPJmklnkNimnAzYnhBmtwZAySV/lmjreLE86UMKWjfCEeexTH
lyplQBxS90FlKlV1XaGxIft0Wv3Qtw7m4Mhp/CrrbbE0tkT5UOpkRfqNE3AbCiLDeQZ9s8I/FiER
nsT1czNqcM5WSzD+JY18Q5WlzMKa/wZGP/DVlTFPFMxXlZ4yLKkUVjPBcvz9eO7nCTlTQxAgJqPD
ncnLAPa9rgOtsnA2YS98b/thH2gsbxgX5LgEg/IpKFwJJG0x0UtOirJiRPeHG/h53LzfAEAByLsR
A2Bg6O81A0vMNQMvL4OX+u0G2jfkSVtHuKSeGT1zsbdJ6f+qObypOTy/oIyRltMsym/z39UcHC/c
nRv+P+3lFz2Hv54hX3f53Hf/8GM/5Bzgzv4LOpCHdPubbAML6k3OwUAd9F9/k2zoeuZs//c/3Ohf
pokgRIQ6us+Oc7gFRrav/8n7F8CcXVIWNQcXZpH1H//5f37iPE/v/vnvHOifFxJZBkrETKbAu6B/
x1jp3Vh/w+xVGpNE7nhp2i3pSiVvGXHPPqzRcfqDqc3+y/57pP16MTQoKIVMIKQAqeyfMQS5p1zK
+Nm9BcI+PBH17AdN2v1Yl7PwiV7m8JSz7Z6jpRLnf/sm/0BF+sdL70N+Jum0od5zaEuDYffcW+7t
FoGo7EC4QSrXYAgPgfQRgA9pHceTKWwnmTIQzH/AGewwgp+fPNhVYBHt2IVFrfeXt50yx4y5cW4b
yBolwYwonpiz3IbLst8vp/aW9e8f+Rd2HUA1lhC61lYAYuwX7BTW2ZnMh8i+9ezOfuiAklzYrb9B
ZwB38DjMXnhyabuWICQlGkQFacSLv/PvGsPnPYw+Xg1DkFfqfALcnx02xGSeEfOiWZp5C03sZci0
lZYbhMJ4GiwsqhUyxs4fOF0/B9t91QAFcdB+B46Fuep7zYBwDR2JKqd9a0mDtSIbPDoaLEiP4aSs
h6ZEb57kfHr5/dt7B4J7u2rE9ghCNsYvODDfMINKecK6razFeuiMDRZZ0BX/Nis13mprU3eeuzuA
B1GBiW8hy7PfX//XjRk4nC0gl/BF2rHGP++VJYpItxnJ3vqGr+7KfcPoSKqbfBmtP+D93oFgXt8w
So/srHDH3cDJ/PlaJDe4oZrSusXiRN0ZAyLTx6XcJ9sZiO0XVbsMD01/35079hxoApvl1by9won7
D5/7nx6cI5Void7BLmLy883YNFii0czMWzmPbBI3yJr+ZM+tSY+twwb896/5nzZJQNhjX/K/4BcD
KmuozNJwFvtW0MBIO8a2DDeZUl3JwIT+Kyr3wlmm/mocS1Z51GzWdbtEjKJ0ZRlrbFVbf2Xgtg2X
3VP5AWwGHZl6iQ7WjJF9USzjym+t2GVeiOUUojembP6QDbyilN6Fl8Dm+5kWR0XEiv35nVVw2RgE
RBYGp2Rzxy0Q4vx13ai5HZ6EaI2kCVfinuYFtlSThxwBBlqXGuetQbek0mWNR8HZtm6NSC2Yoy8M
1tTd71/2P0TBgPwRfCkIUxeg4c+3aSgbgFDmWrcemgUlI3deszWI4ckyM+thbEDF//6C71niNC+w
xiIFd8Cn7FDSd1ds59yuzFpPtysJ+ZU3t95zFqn9L6DoY2k66kY4PtO+rMzocZpLVXTxuurovpSA
K2j/6PkF7py6qUwigAmX+qkEPXlCyae/en1FE6eGH1tlEZ0mpsFX2nLCkwEH5sIOeKBNyz/5YfAE
vKi/f28Oa9RTAoeVC7/2F2HTDTHiYCx1ftvzU0xT9SbSKjCqj6PT6Pm8W4plTapgqeCNeTTYEgaH
WXGMirys4obfbSYa0FtiV/ZyAAYQHBdGtLsw2yQtWj+5xnI+87ItNZnCAlooVuPTYLQ5vudB34t4
zXXhJSTIxZRCxmVnVNMqDxwBPiZVFebMLi7ot8Ddi6twaqsTGn/9Na58wZiGvTBlPNiN8RleWP1x
h+V/M+vJShvyAGY+eqODrNVSvGiv1/4l7uGkbjPn9yXo6BZDK6cabkazQDtEFRHC0m4/manHhADj
VtrLw6PsQCelOBkH91E0FiZ8thw3aGEvNLVaL0f8HVyghpM32+FXBEEAKXTthMXIprYZ7IOUrrhg
ZF4aFxlqPic7l8UA5zG7hHAS3et1sehQwyYSt8YKWT+uvLnzElSSMCBpi3wYboK8bWBKRW6Bbzz0
xse8kBy7NWsk0JIt5/c6OqAPt8K6bJzoEGAbx90xoXueIpc0oQuJNqSABOJl4BSYSswN6dsxbkmz
XU0lpMShO4nfUXAK66CWnMxWYYVDsnUSJQj8i5H4+eA7/XgyFBrux1z3bcFUslThhZuXBXSgaP4W
drXfM0MqzDOzrASoXvyMhe2Ko6Cz2489JBR0iD5bkD0v7SVUKXhFWjC0LhJ0kKczhBazIx2G/ksb
TZA8oSDFoz8ULywU9T2XGRblzBe71JR8nqTIZtqp+eClrcUUk4XVmg4wgE6pMNYGEmBhP7+4I57f
yivz4cHwIPhdLR0EH/cSmd2ofQiWjIkYC6BBzwlUTBsaUAC1CyyyjmHnI/5SQ5BYbRjJeMUbAHeY
8kD3Qe0FyYzPDOR8h9ut8b9K9ajb8GiYe/KzeeoOSg5vGmJ+f2XmoEeJ9ob7PIYr8NoJA2laQihm
flIAsBl50++4pu3tSHo/sNJw1CZWlJpVGRchAJsjoEp+BwCx4SkCErLPq/Fog07WG4lpQv9coTPj
WZNPfHrQGk+idPNbGYTbnGzad58zD5lT6IHkq3MTEo3a1YPNukWPK038l2kr3Atf+gQelzgUuG10
aEUxTozWiilM2tbh1+vR4+aoOPor0rrsUfr0BGsNOqruavthNL39D2HwdprnhfhMOMswuXWjNk8t
a+bf5EhiTPAbSHyQZeBfQAvp62Po8XJAx/JIM7y9CV6VVV3DmSLEANoKT/nYRqco6NUdIFsO9dIg
or7GSHK48AT8gz1RjeI868PpZYz2VxkJ13qYJsnfvt5tK2Vexc7oqpuetNOm8V/qG0aH/C0MRVd8
7NpanOf5Ap9444ssLpmhtlfrYbE2ZOrsSt9J+quPDt5/D1VmczzPalhTvWeP2ubdW/B4ypgtyZUg
WU4vZc9iqPa/o2tGfzavyD5N5kDPIRTbQ7SnR0PDaTtG+fhUMfx0wEJO+u41UdjqsdOXqmr8Z1uR
31eIBj/Bn4oOyg6rF4QXd1oskOuLfjTMa7NgS/vI5F1Poqn7E8uIb2fvd9v1IwfP1Asc1LgjszJJ
whFnQwXEqocn+tic5rq2DXHIEB579qeNmcTS+5pB0sRgioFFRQbV94jen0ZwI23ymuDIPVWpt2p+
eSt+nP1MRrCgArjraRctPaNmlBswwXI/0PoMT0Xruc+oA4jmjGOHGwRUUG1xaHRrdaBlmn1tjIKL
d69bCIMbaO6LEnsaxMlDq2y9hc41vTTRxDcaspDkjn/ENJMDuHM9Ylu/lyp10ZZnlrZIDBB7uEAy
dL3uJie44HH6K2cx/LtSS61jo2i420WWAkNWTlxknsjLu8a6NvOKk6l2Jb+5WgJ14+I4Jz8Ma45e
dVtk1IAW3EeGizvn4oBoKDeT7TDP2a15ZzMDlUcF3eGhqsOxOcwg786QQ2KNNEXjPRftyjsFLMfz
vwaBunHUnUYCDF+suoxOvvYwL4T6djX4++XbdQ4TOmCkY7M1PFVW319FOV+VdJ+JSObwVUt7CmmJ
O/t7WElBAS9nj0ah1Y0CKPJMD5v9ajbwoOxyM/w0h8yOENHEnbyuRFdV1nQF9X5fG4BNDxirEnwY
4eXTTaQye70I+/0DVaNLaKItjRkqsgyP5bwpOPiUo9NhQ6ACNA6c8wHsSt7ea7Pynh2svx5sI6QG
iCrKEECA1sPqCF4yNB1riYnzURPrMhqe/Hxgo4/WqujV8oScROTIu+VDLHpRnr0WvBuIrKfNctii
OSVqSeg245WS9kFCv33oUcZ2DvOepW30Eun+7avz9djUtBvXdGgM58JBjWGJN2+ITp0NnK6SdpsK
Kalk9rfGdFtFKc3pBmmI/XYKn6dAqct9HuTMfu2KPDo1dce22rSTpYGzOUeJN3IYe1NOOCprNpft
4rWAbLzwnBgJcDwFuzpTd0WZ+Q4A9WA8B1jctAfYhY13xzCgE0m3uvVGT970nl2A7CVt/ix67JRJ
2QoS46Iee6M/RFG4Npft4vPTjSzs8R7IEqYHTVbzorf9cIFmtcc+hV7LWZ9bBHlSkXwvyV0QFEnR
siZeX8BbLNoL96WyiQt7YBV5wInzunYz9DWA08wDQjNBqb8idZzdvq5PSAXZWUUj4GzpRhdiqQxZ
IhBaxLnL1PGyyLUIfyyIdm3Dfw/BwoC5BdJyjoNkdGjAYzznWIY9vK4Kn77yFtc2bB8EvdjIY2dd
V97ebagnA/wHDWpgHbNHRzrRW20kAL1oQgivKplN7w9kIGY7IDrsISVHL3w60yRCAliabV2Djxbn
LDnrwSv8fk2tJmdnBUjZ3Nn0S50jUlvqRlY90d4prY+4T2y3VOosapOWnEzmlaD9GgHdeq7btM9o
siczUhAc33PFW3KClW2zH0Ao9eTw1BMmEgSFfueVH0cDGvmhk/vdVnJmmzmj5rr5oNVdq13hx+A/
osdIaRI/L+e5pcakD+ibS3u/coUCtU4uBIHfCsGPzXLpio/WBPL6oiOMXjPj5y48zMn+H3vntVw3
kmXRL4ICLmEeB7j+0opO1AuCokTYhEfCfP0ssKu6JVWPNNXPHVFRpYgSiWuAzDzn7L32ws5fcbfr
Bi6w+14MHEIYf/iP+line0Rq6/t1/fEGv6t7N3iTvDYt8ZqghkbclHUH8nL0wEXufR7RLL3FFtNa
zAEQlhxK6lBVaM+tie0xS2t2JMTxS9jT8oTEkM3OI94iPucUm1ZQCQane23IrJ1eerMKmImg71aT
PKb4uC4tDJhGyK4pj1T206E0agKli7ouL6PKqt78CT3ijjkFiyGHTHRhndl722nqkJE36+J/Ak9N
I5KIP85Ug11RwRRlcWTaTReGTtEQNgUEn7s4M/l6Wlnz74bJCBM2gF03dACBuFmEc1vtuvg3ijMO
Nv/pYwN26CMC33fPBgIY4Dbn90I5L1hlR8vnUfXh/UXM3Hl50eLSbDIrzgd2NPJKCfHg9+GLZMUS
JMF8qzhjsrv4NcPpdQ/HeRo9IpbjDnovDGNEkvWpKJhWB23PmlY5kxud6aeR/J5U/gV5svZxrH3j
Cji4/2gwuPhqLjMqQiu3j9RgfK+lY7J/tkRJHQYZs1qhtDXvFVcO39dNjBwsjj4b5nZuSp6JYj1v
1pHvMQb0sN9ENe2rEVnNM5MgKAU9617b8AgxBeaQGmn5SavEzonXlXlBaNGE1HbJwWTa981Wjt6d
RT3wxPWIeQKRN/6F9o8TRkOPRGNnlnnp2UfXXXT3SME29SQKz3g9hgGkaA8IqLBN06NW6cWLni/G
PYBhWnYCsVtIn4ePxM00to0owq+ylw4biwPf4h5DDlPIxrWOtZh4HpZ4XQ7ej8ykFLw5sTkBtC2l
vouRN3pbzDfmjisn9wky/ocpcZaLxJ7Th3qI8w0qCJ/VmWoHf0JhDli5YBLhzkHMf9NqToVMY/FL
b2u11nQwY6G9DrUlvmb+sHwrOFW+VcXUcdweizjgXGXSueh0+CVdtS9ornyyebntBq0+k/qmAfq7
baqpOQlrSq9St/Y2ceakT7Lu4zv01Yw7B1nMm7wTOqhVxAC+VUcPiebmr1Uz85tEqacdJ+XSj28W
PHcLhXs8GqHbowkJWl85z+/Nkv9OeH4z4TEA8X7XVvrLgOd/oEVWJf7Mf6G6//Ejfw53dIY1NlZM
2h1U+nTg/jXcMewPdAfWLhTKc59G8j9h3ZbLhIefAkRPMOzaYv7nhMeC442VDa0PEbxg5Ly/M+AB
3PVDs0gw3xS8LmIfTN3g5f1sMJYNQ/0pd0bu1Rq7moOapJcFUUfCqfQzwfQe8Mqscftl2OfAZKT+
hOmK4WzOPtTdm9LulzZY56DmtiBvph6z0OWUUHt3qYNoxYGMmpUp/ZCadabc2QBYJcovfz5kpDdo
aImwqkt1RAomO4VgBJFGX18SlpOVwHtSD90L3aILgRPzVGlS6ccsdebL2Y6i+8xqalxmzietq9R+
rJS7MsDgdImsvsgkBbvMpsEIhKCETYhpJ5Q+gVMR+JLNjpWY+gZCDNtnwQoCiKygkbKsFZxem6i3
yr5Tl0B9KRHMpB/JQ6CSoDvEebXYl5Mq9pOCDbkRfpUeHRk37pXv9yqjd0oxgAEI9YZTz/2+b3M1
BNqKgU0kObx11I67bGndBf1TyS9GGxRNoVSRujZFVD7342x8HOFsK5ZJOnVJ16k44ACBMriL5yXo
cklbTzTqU9/a82O0kKsZtnFTT8epgkWA8kzwRlENDuYnuMoN1C6j2Hem06Jjz9WWM3hjBJ3RXoyg
x1YXGqZCiikOsmk+iqMTde6jn1ERUoL53T7N7KbfccbFFai41TdwGGf9tnHyrdlrpdxbfRFRoYoJ
c0PWu4AvskwLhcKLFIB9biv6O8gHkFbLAwQI5kGxGrydOY7jduyzKsRQq+LdbPZ0AOn/1CI0aKe8
uVGqvyzCiHe54Gnc5VFKM7a05xcJ1d7c+a0U+6Ga6jujbJMzTLTiU4XLNIh0ZXAw0+IekF8S6xuz
da9hsLAQm0m0xTrBeQYdgcFNY0yG2sZx0ezmNa8wcVv/ehINPp+oHTgP2PEp8UndCipL5uDmLHxT
IhmKr3qmVUcgBOaxp820AdoffeZpwMIEasz/QmC9kQZz16t8H/eNeR8V6XAcW+nu0C67UNfLqLtD
7vSqj0LbqNlbNiCdETPxBKTHykV+iPtpUn4YM6y9kE5hn3Jy7J6x35t71SV0OEW3GMZGKBO3iik1
a9NFzb2wi/aq8fTlS9HLaANgaX6kYpOHaMGYG2qa7mdBrSH8UbXWXc/VVF7RA0K+1VdZlgamSqNQ
IGzfGElUPThx0wej5pdHnCfxU9+sLjQkU8XH3K7NsFvwRCHj3/cVzuPWjewhAH2j34qkGcIZp7G/
q0rb5PwlIiM6vwtGB9HX162M/B08+uJbaeQzBTF07Wn1xytOx0EZ9a8MYewNZ+wxpNFnH1b8GXpy
82Ua5ycAPCIs89ifNr6ip55vUB7xPcJ0bTBLOjdjh4+Ey8LfGf4MlP/vrvi7XZEpwC93xeLly4v8
cVd8/5E/dkWPnQ+SCJsf+AUDjRDDoD8kD573wWY/ZHpBfi+z6e8iLCzBrugyNGUSSVgQNJF/7Yr6
B9O0LZ+GITIKxh9/S/fwM2NgbTuCMzBM3Vwd9j+PPDOjNu3OsrWDr2l2ttY5y2Hw7e7+u8/k38gO
fhxmipUs77koMVFZWPoaDvfjxGsxsLJiFtQI/aGbCTESieSge9dyhD4e/PpaP07X3q/lw4oHOsto
yHk/hnyPbeG7gE6mrOgwG5V/zWFUXQI8wFxKGuZN7cj0d0gIdAs/Hi14e+6aLyGYO3oGJGpUKt9f
cuL02hhuGx3SuY3o31MMXmB4ZZtlG68EYkbGHvq6jO30AZkqEnTw/3sqdrPcNyIe2DuUPQbDRIug
Xoscv5oolWe/1b+UACewxnU+C3Ts78eFrpHk4B1CKytPiCjlbZEDCS+0tn9g2lqeQHPXO+IL0qto
7tMrOwZET7RVmeznBoljGncAUPtO3prwr75hIF8ek9xuH906viRoKN2OblGGA+ZEslit/NK2YVSE
SWYNZOwN8m2xlup6scbswWRMEpR6VOxEk5SIT6UKh6ocD3oVQRRfGnPvKR3yBwjirUHkT1D0Vndm
wlNdIZFmAUZu+KIXsXYonNX+1GrjoSEqKw7syScfytPM6rWj03bhLHLCSrskQ0DLC41u69k7vTPb
5zTX/DHfTEnrdois5xFK2rMvTDF3F0lZZzu3JFU5HCPu85BpGd4s3ZLll6FlDkFHyXvK/Nz86KOo
S8JR7/yvmQcuNQCr5mKLNucqZ8qfUn7SuGBwgBP/S54UngjT0i6u9QKrTAh9oLpwQbKeZxwRj968
AMNm+8ZQtRqbswUrso2l5zq1jI/JlOphtHYaEuhh287Q22fQwGpXTXq/85TD2GiCK/u1lTLZJ2Xy
OreEdMegmc6x7+H3NxaRyG3Hh5PQuL1ki1qeiHjQbi0iBS70BQxYgCwkxw2mdG2Tp1mkE8YI78pJ
xTFiMn1QY9ltrTnNL/QsHr7Sk+y/5MacFdslXpxyq/Wpf+Ij6KCZOq9NX4QjFqIrutf0el2OAxZ1
tJPb50jrp4A50YNPR4ubtC72Wu2hkMSDhlB3JMPWtPUQvKpDA70/Z1pr41LpY3A4upe9QN6J+Mvu
ZysarA0WmBknr9N8jMbCvHCS7kZM42gEnufa3No8PRM6XHJBbNANhvo2SVfbiVbrL4FJL196onHY
lWvxpcb3fY1wGdzO0vcfG9FrIRyFj03jE2gnlk/a0FpX5pKYW2at3ZXmLst29J3xjkP7EMaGr3az
tG/LUT65FuHEhxTvm7KDHj/i/Fo6KZCFSA3IOB10OBkdX682s2DBuLDJY5mLLSSHOQ/noqEGp7s5
T8fC18lbCRNsoXoQaQg3H/NuZIAK2GXoRnoPGtHR9Mi67N4Gmhj3BeKKyVPjvTv3ydY3OjfeCCxS
GEYjsDqBYC5Ar84ry/2oYI18mjQbPC2sJhNnmDcyEk4LbfZ2XdaljQ0Ms4dVmI9L/FHlYgXZ1qmK
r5wGw2xQybYcb2KcZZ7F+bXpkrMfMf5jChaN4tms8RvD8ykjLdmOLWEgjxlFhtjhrBLuV3fCVBUk
PaTVUz4TvtHe5ZIjGEJnv8ufNVHnd75intHqJctwJV1xUHpfPLrRrK10ODOaA6LxrJOYVEWTcFEU
DEJL/L2gRX0COdJcGNMkDpz9dBczwoyqnUA92vFJRWu4Y35ERyNyort5HsZXxyxxXNFhrXd4TJkv
FRA6gsHGnvQuoKJ1UZ4QH/vbnqi9MpRNRC2ESQ6hi23TA3KVa+wMp6som1J8UbXfh2Wne1MAOYKj
ZRT5n3Emy7ChMLhbOhDTgSi1AbG/GuXtZNn1NxsB6wUvJOVYb9rMQGZfLhtYm0WybUGzH6EK+NeF
SJ2XQmItgFirAL13rmSmzjQ7zOF4liu/nv8ntF6+4fYuHi29n26KPHMATi+yuotlQmOoQz5psHjk
zsBzW2ze99b/ngJ/cwrE+GP/8hh4Cdni5TUZum+A1L9vkfzxk3+cBh3/A1GLHAWR8XHuQ//5z9Og
a30Q1JxCEAb6p9T1TxWs+YHFDTkNP6Yj41mPT3+qYI0PyJ4xyf0rIO0n1ev/XwUr+NWGu7ZbhMGf
eXU/ac58a3a0vNbqg5cWbzxQ/l6DyhOkHs3kXx/Sfj4xrVdiNG5bOipU8y8J3kVpl/YyGVzJXODP
6uSmlBVWqigZwr9/Ja6B9AkCP6Kr9ZV8R/GLe41pQZ3Xh37MweoM+nWnZIZPbXn82xdCp8hOtoYp
6lzrxwspcgX9ql3qw9zlb3mRv0Va+pbx3//kMqsaG7k05sifviMCycCqAHAGO7FO3kFjB1TGHDam
9D/46LhXwYIB+HA9xNs/vqO4BvZVYUI7qEhi9SVwKWAX9C7aMvvNm1p/07+EXO83nkf2ls+RnSgV
lHE/XslVqFZ6f6wPyQj3gvL1I40AJgHzY70OLn79Cf6oGvvjYtgG1mQkREo/i5A1fC48m1V98HEM
b9xOtofMYwpUaemL7sUyTO12zfsgZuPXF/43Nz3dH4t5F74FByDvj+8SN9tgFpxIDxhz8ey3jRUI
X8sftYw//fpS6wf2lw+UaR4NSmTmPNU/XmoZMs7x2HQO2oCcRA41DlBTj+5+fZV/+4a+u8pPdQ+C
Q1tpQ8FVEBOezXZ6VHIsT2X7n310313pp49uzGVSqZIrQWGeN/CWX5Y1vuX/8Xjpf31T1OvI433f
BX8Mt/fHj66KpIB6RPeoVma1qXWFnmqu2WsXW85bP9KrDZUBKTEQSg/MyKrNu2oNRU55Ug1VO8Yd
5qDeRFnXUgu9ukkqQzeLrCOWAAOwQf42ky12jBdDXdZux/SvXlaZgQ8DoKrXdJYkkls9H82Qs5A4
uFMjb+fWN59y16yO9Iejz/Qa580oOQpF7kJQ01xSGmbczzmZATFdWUzdAcN8b6Maxmt9j+1wyIty
S6xteddrmY2IcBlf32vK96pROVSSc8YBZfQ6GruJCyVqi/ZF//Iub047Xs/7zEuSZLHJmQLvKj+u
r2NzqTY9Zg2Cqy2UtwHsEH9Cndj7eyeiFEXGPJGtM3iAWmothCoqt4tk4ZKZ2zPIKU0AVywuyDLL
reOwBWBeNnbEYVd9qDCUnGwC5fZZyxTf0DFeexyT9p6PnNclQuAJ6p44T7GRfY69qnh0xpwypLPq
58aR5lPEe4fJMTKwrKU9LLwmxcAycdeznGUBEA4mx6baBl5bPHYjNZanURyjy+o/R3w05yRrasz7
2Ztu8J0OmWM+SS99A9gR3fXOUh3HdWmkb41kqCDHl8Gavs6sfdyqN7TwkU5N6GBZ0UmZWY+/KsZj
yDGA8xwjOE6gVHYWlu44vYqt2r/OALi/ORoTUaMi+9lBSkG0lDZ6XvB+2xddbJ8wXaNCYnINtpgP
IRqSLFzsZOYQW8f3kM94S7Gb5p+hVLDFMufdRCJZBU3kIS1htbROAXsft8mlMaja3zjwI3Au1siB
TEOh3SnBdi6Bo5ftBTiq5Qltk7ifypwDKIPbE+9x3pY9K6euY2SGR+Y/VnS67q2y4v4R6D1w5tkC
6AxjbFXthgn5G1Ati3mlyVfQRxgWqHtqGiXwcCjOM8d/7Br657WtL1pIT8Tf4qr39r1VM1UQSA6T
R2JFYrXHfJa9+KOp7fyS58hxK9ykqc+gooN3/3FkMvhpaZd8z9i2L3aj1popAFmm49slA+3LyD2m
uECgYXxZ/HodOfNs2bhrEeCOonvAs47SP7MFMtWCNZQztQCirlknR1/NtMDMtRDWhn0SSZx/bois
OE1RXG7bCUNg3mYc05EkRQblDC+EMiKm7aXNHTOYBGjJVZz70xY+hA8VhW9osNj6Bmudm3hIIZEz
RXcYwod8gyM3+QYkUBzQp6KzdNaRLoSeT3U3q70lKdoCnxSJ7TJ65Qmn71sXAR9rtB40BJMQv42/
9XQ7GK1Md0gwD32lvgzJnALHAOs4RLVzZit0b5OBh9IoeVnAf9Wlggm2jXOec5v2d2DWbv7kGfVy
1v1pJxe3CBFC1n3IhAlSFj2GNGAywk39rhwA/AanAsv8tcWhEqUITz1FFwEoqN0Cq8uId2pZ3RCD
qb2x7ru1zfs2ZfaSdpp37Y1IrZg1e7eWQvsDGNK4z6AhnqaBOypnQf08rPN/HeHrRpVrddYhXwuk
1/jXfUn1h10HHkrcseYkdu7dGg5cEVycL0KwUL7bAUgRcW8xvsNXaVuyvtxV+CCswbuNqry9MMaB
lez9pDX4bbMvdAkcCxFsKKGPbpyRS7cIwQ9p5xHKZRjjayLKY10yV4yxSXMHMy1s0+Laqvtql4yW
x5cg6+tuBYOnlVmdC0B4rOQN1hlye+0wd/l00EeNG6guxvZ91R2T9LnPPeObPrJaqfUeETqa6Dyi
vZfht9ipGbyJO3KSCDStF1dZLHYdXSdELS3gJAshbtMz26dBUD2kE5/Q4kblZtJdYOFaN4YD3/Cq
iUcOFNNDvAeVFoUe6qRTtAzythtYe7SY1YMEiG2ZK8ln7lfDzmIwh7NapVdWZOpfSGDoz4rghTCv
hmsPIs6BgYfaE/Xg70mM1C5xHl5b0PQ/aVnGLGZK+ssoW55S3RqfvBzVhzcj27IXIjMX+HbbMgEE
BhUqotZ9dptWblIreaviKA7tPn3geX5slR4fTK/StgnE9RChXI3puINeVM3xnsX9iyaqITBdNj0o
R/ZRI+jnsSlZeduSFUeX6PdS3agrZCXjXP9jkXXsrt7BzjB21F5MVVCthOzbMFtw4A4HaQq73ZeJ
HxDyWNPJ7PwMhVRRsJhlFHkNt0jmy9CAsnIksE73A692U+RyLePMWTUMk4vaIundYt4EKJ/ITBkA
HHzopCkB5FjyVCFyqMPKG5qTVXTDZkCYaxYb5F2MQM8zjmq5sPkUa4tbuiOwbnNMEUjlWaLtbcwO
yWmEx6qmwJSR8k62ojkbRM6A3wibuU/mfbDQ4nvr5izxAk/l8lstnBgbR+weJ8+tjRATSEufsBH6
dkXEZHwGa6J62Ld9f1M6dGrbzB7ol5EvmG37OmntzWINhsKkb3SfvVzPSaScirsxszAnw5CiT8Ph
2k6JnJnVCYdCvgHf+sX2BvIxsozOigVgg64PXmmeLxYOdStEpl0aaP2zDRgKui+2Oe95Tk0rqLIO
ulbh9QezGXpIP9ELU8McQoHJvFavvA3DT+OThIN9NbBH0x2JgcIxoSOFxy+s5YrHNX6NC9cYgPN0
WlC4E+FIhaYd00notNJiyfpmOyzfNuYFtNwuzfoROgFect7wIR9GVHPeLH4bdriea384x/vsnd7q
FBWWyaj5pxN2tyyxPXR6cWjYQDeOOarLPsbSwECfcwIxdkA0LQ07urlwrsj9tjrzwItzj3MhpYP9
u0LtRxMitdP6elZ9B76ltdj9uVCLzZhngNfTSuNxIBq2zVlTRzd9KYvhI8kpxu7XJcZfKkN426hC
uBKGWfocP02OOlsJGY91cVANhzCcnBEbFNtxWSZII5G2H399vb/MclbAN6M3dCLw3y3wAT8e/8uW
A44Nj4wFpUFVwCpR4ZcuVb3JWvkCXg6deJdwHhTeePO+7YzVYjhwEEdjlxiFFhIUJF4wFKv9RPf7
N4Wd9ZfyhNcnmBoKx3VxK/9clNdTWmkgdvJDIqV9GlQn3yqr4ZkakY+DToaeNG2JXeFBSjKjv0JP
SzELye+6Njhop7wJjjLlCeC0t5lNKs+OPGCSdOZBnG0TtXaJuOUidzqaoqqhpdgPkTjEEauyNVG4
AlpdQUmMEF4Iacb34fOvvacZ7u28RsEQwTsVj3qaZp/fd8WyRJoTjktu/m7w9nNmwHo3GoITpQ5q
nkDgn6eXMZnQGbtXfuhX1R6xf1XQT5DCRsv+1KSudtA4NgZeRlodaR5EM7T96de3y1/qbJ/Bn4cv
lkAMi9v0p9uzn52RtqyRHnzq7b3QYtq79vi7ZeAvHQuuQqNitf+uKPifv/MhHVTkAJQ9ODaHZwfs
SVjW6I0ak0ggZjCVFcxQMa+SnEPvr9+gud7vP65AHFGstf+zTlVx2f34PMABA/1cjMnBZjoRHQrA
VRfvbW9UqeLcVZghrn1ojo/IVB4JAGretFqM235WIg6hBcDiYb1tYXCQn4Rgt685Tto4VDh/+xdZ
VaIsRybRH7Woo3B9f/X/7Vf/pl9tQOT97nv+N1q+/KXsXrrvO9X/+Jk/ZQv+B0bnzmris513yd4/
G9W+/cExiOF2sFwKgUGcZ+KPRrXlrD1sHx6Dzz1jY1b/Z6Pasj4gu+NvY0JF1rD2sP9Oo9r7aWMk
JJd/CLZwDYM4GjrmP96W5HWaiHEwD4jCA6wsiLhoSwqJhYDcUxE3nB61inD6ChfrV6ws7oXA2YsQ
jjP6x6oaCG2hLngpaCBcEoTnXy0EBd07yIF4oGqn3MSd7V4lheo+zplK72UnQIMPKj3K2DE+Vxh2
tkXmZqyjDjc78BYmdtlh0rw2RUYxTvDLhnp5JddQC9MoBqdOtWvetR24JhhD5TlyrWI/WB2S8768
rISZchqJwNJkHNuov2HgppJjhURcTPEfuyeyzGBpR8V0XdVesa8Lz7+Yu1hx8ncm83bSBh9ce65f
GnOqX87ENSm8T1azM12qQKMy40+Gn/pXhpbfGBPYtwgxOTwyGloOsCwMDz6pAU1tvVnzDGdLzgzg
DcWuwZG1J/IAfydWGmtr2QIkV4u+ay8Kvf46oizcIRgm3j7FD8WWmT80duYQwVzY2b6WU3bwu55M
NXsEJurORtjjPniqvDSC2pSMtz39hVd/HudPkPKs2xhO+8Gas/bKsbLpVjh8OORnpTswpsMZOmDz
RUJDoOyL3V2tCrV3jZy3EU9TYOclp4VyxL2K5emr5lureWIOLb8+m2V8tIlQ3A6EuZIOWJWbTkSX
Mq/lUfO0I4CtfIOWn2G6otxrGiXeYjhnsOj6FAawPe7hFETwIxJ5Q+L8giZPy/JTAmRH21pLNrD8
z9ljjPeHYsUhUjp1alCjDJVrNTb3Pufey0V39Es2a7iJTKBTOlR2d5ENenFnV3a9B/1k+sFI4upB
TIWLBa+wrNtldtPLOLaX3ey6oGMZsbsfSzxeyO96tvK0s9QK2ddvKPfdU0UVF4XZYhevA6EsV5Hj
FAeo8tbZ6RnQy9oBqui56aeGtMyrEg/qrSSO7jDhFbrSNWWdzVGsCVxVfE3WXnefLRYuU9kVR6kN
VLjRCoAthXdlNrUJScRwLmk05kdiP+tDhj9QAlTraLzYibgu6vFsJqPN7Ug7WtN78GNx/5IM0JtA
JefG1qwj9wUg9zfRYKKIZ/ZtOUuBIzCyKcDQjc9uaT5adv46j1Ydh1psm8+uV95Xyloeu66eQeuV
+m2VOE4J44qkOA4EIGExBehXieJQFY6a07zAA88wJecNPirL8l+hJiX7UvFD8ZIWD16qS/qYOAgx
nshzFvMljphn8JWC8vWIG7xzra4HJonMJuhz455N7ojuzjlVEL1KUomoIl1ZEm+W5beWYRQfRVQc
nHnsT060lEdgWoCfalqGA4vlc1/56dElWW4HWrRhHoGaAgdw9pHhtP1tmZoqtCjowiUhDQCCYv6J
OI7pwS1r7bY2JRYiWHfE1iU53HVwgTdaO+3GwmnODYKVLPT9negzuY86wN207AtA1LcqotenRfQE
c8cC7qGT8VgS4d2FBV6+q1JX7avVz7wSW9+M+uTuoZtOW1UAH0EyanmfenducILr8BM4/88VsW9z
fL10Vb7Xpp7ckXkWbtiqyVmhVSO26mjeDuXSIXyuBnrBvq8e4mVGdVZgHmG+HsMq1roUukTd6mc0
u/XlXEakZBrap8zM8V3FMRrOtPCZ/DsNihKq97DQ0idkGfqx0MHSoYZtAjPLqy8Fg7JzVCX+rQDu
eOw6Mclgdfffpr2WkxRShgLV9ouDN3CfIVC/0TtH9mENuPdKeZUeepFcCrxehbMFZY+HiV3jig5r
8oT0KL2Qi6K12jsHdsQFY3SnrmjLYkRSY3bRZQ7ph7MGZmKw25s+i5rLTB8b+HppAUNZ1tvK6OId
I8N4s5hJTfOqsZ7yUZoHp+ddtpFHv2jKzG+LGw9YTv36xbaadXMBnv8pkUX6QGizKgJkKD5tGD/e
A4wFADrHY6gZUXJjAGMI4O6KQMXNdKdT/AZlIpbNPPf1tptM7+whbcug1VTJteVmIzcaMmJfs+np
1Dqtcgxfwx4YUn/M/aV+KDDHpaBCtmRKLze5suwt8zn0VHOvL0AstdKGtD3tnKZSV4aKzZNv0BqF
QpdvRjRkgTLYblMe8XMXmfUBTSSZ2HnT+s+546QbWY76pyJCSMfKlByj3qRCccQN4yzttSZ16lT3
HoRPsgiujRQ7lKBfu0N61d0W8+g9xKMX7Qy90e8SlQJJxbitwRXXnJ2FzPmqnZsvJdTJV30ZWP6H
tl+gIU42PSJrNOhaULyYnXbGcmLCHC1BM5PKxwlXahSdA3ETklb7rYfmmb0/y+L7QXAQwfgG2j0s
Lb+/beKmOFQ0uzj10i7NEQNhgUSR4jVvPmPooyoSE23bqF2kYNbB1MsbpUoqGDE8i1age8N6lOAa
Gocvee88Q5x/0aPhzS2WZw/jeGlAPyQctuZ6jTy2UDC3pJffm01cn+rEdenc5SZetbF8pXSZntqI
H1Slo3GrpzPq/FMd8y6GU910jer3+ACILbjkqAUeMSBfUBfb1Kx6GwhumlxMpnDhRk6DdwOGZnY+
dU70NpBc5qE0p8n+jA7GRG2IujMERLAn37Ze9pLRzWVaN1r1XLOAcvby1caYonzX5HMsTzAK2k03
ZuaGQ15+BrRRnoY2dZ/FLJrPeKHi7CYCaXB2E2G09/iSkwgiQV6gg2Hsgj0riHuRffWSqdMeRBNN
AnkhEfbrEDfH6+2m1qbU9Hnf+lW5U073hGxqDNopLjY6jgU0XPYTWLrx4OD1C2fZD1f8zWnnk5gY
Dvjv0ta+GBBzIPjDGBbk5DA8QkPWDpxFHsolKbaJY7ondhBCcrU0JkqlMMK4NOYrFPjNVcu3eVp6
GoNJOr6s0ain1ne0oLO1YW+U0wxUdj1uWYs5EGNttec0PebRjoQ9WuRV1B+I06Ed3HjpvkMIHNIy
u5ULoJGs0eLjYsf9EZdVdGqlmZ56ndAQo6AbTrLMBYI92P4kBH4eLKQB8Fznfdoo5h90KbfEk2AJ
SItqO0Z2PQVVkrORRTVhCHzNhwFDCLpMU+4FtrQ3XOMcoxFQgNTHn2IZXx2vdLynTh9Kt3sdbLfJ
xUPUQJnuw7QpUvlf5N4fFqrfFHEW/T4KqP8buXf/bfqxhPvjJ/6o4fxVUbRKKgzoXS76IWqkP2l7
uvMB3Y3pAgMy/1GNfVfDkQXH/zJRIem2+Z303BQfPARKK7hI997dWn+nhjPQn/7YWzBg39kUl2hl
6PEh2F4tW99pcwB8aqqpKp2YVrN9UpoNvbiYX99ZpYuhNdtEM7pgklX+0R29Sw556pOjsuauRsna
6G13GhiGBQ1JDJfvFNOZGOBor6osuQG7ob0MrltBuKl0xpNehAcF+RX2/9IlO/fWthFwykADkeAe
ieLxzCtaWXr10BWNCdpcy5fK2tfMv+pLjyOJSwyHGhdKDFazXto4NfPM3tGi1UGr1zipm4fCK3sx
BW4pCwMbzeRQhZiR32/dRLe7XYIHtD71EGdI3cgIiUcEOpkz/JsUeIJxcqvZfLTnuGvYOSoD6XhP
O8/be6Y7i+OAoRipLN13N7tHMakNKiDwQ5GmVonqJUPr+HX1r7qcKLqpa1bfj66o4To31e+mZdUQ
97yEjoyrCp4wa0+HwsBPzlEG/z+E8Cy6HYSMTBEqmq2zmCo7yBjsDcL0XsJmtnrMbJO3HUG1PdPi
sTEZxwnjr/QuLkgrCKYhI8m9rA6ZOT4S72Xts36k4c/s55CPMZC4RsbJE4sJuJ+Zctr1pkuSU8/J
OAxPXSwRnhfdjSWnBPCM8ok2i53XfopYvIfxmSDiLgTtjdwJAcWUg6Xombr4BoW4Z3/BIN5urSgf
7hZv4LSDBJkdyXzUGEkHwq3HPVBSd+chu4f991Et6SP5J1ha0/7M0XVcI7avlqQhmWTonyvZwSOo
ykPer9llbCnTQiBUNzMvrVedBgyTG0ZOHGHM/LEGBLMZWkgGwHK/MZd3LqEMRjf/y96ZLcdtpFv3
ieDAPNyigJrI4ixS1A2CEk3MQwKJxPD0/wJtd8v2f9rn3PeFIxSWSBargMQ37L32FLRuSLOHFW9k
ej2AViDRvDzYymYVseKCKwhPUQorLOwPSCOTyq4hmfQXX05m7BHGSyB6TiD7vDohqFdagUH43/PR
VIdaAfj2MzGf535Z4k442kO6odqbIv01QbR8i2D00ZE5i996qQ56V7OCIi5tWyW7BNeiHbbahbTA
xhn30nfAdbnEQfS9GexTECc7J9OCg3InfN5lfULai4yAs4MHIhtnZhr599ay251ymhpXGTRo8n+G
qMU8Fg6NXHYOcI7Q0VUVGxT3oW/OTwYFFtMDhE9VclrXBnXC0IkQffaLs6BTtxBTnzPhEGDdscy2
Rqf/Nq7ejnF2WJTAJEDyCCK9MeVBeSa34sp1JXf8CBg8suxV+2hZYbIoRYXohC2cuDTqC7UuPOdn
7UiJMz6A6Zi8xwq+yZ2rm3RruN/ym45pzt5qc3j8XuINO4NcoKfPtkDqxpriDGzNczOmPU41S/LT
uLDKNUwm+WOEVYKPW6m7YiqNnWJDygqYhin053l5Fyga9Dj17OU8yrw54jRcpuAgubTmHTimLUiF
V4uSZ5jkh4FRE/UGIYV7dx7H7IP2IuBemwKxssEW3XRj+s7wOjhcLWZIYPS6N1StX2VNUB+mHENC
JjTzoJMGxhhkIrm3IFGByOa3ghhEEnJSLXYsJBVWt1LhdMKKk2ClNUwT/HD++nU27ODZy2GBV4X2
xi31YhKmgFWvbONaSEKGhH1DxloZ4SIvrhqNhJfBJ6/G7PJncIGgz9zOyS8mxh8jRFxtRatRG3ei
Tr4IwlN8NCBWcN3ZVXs2ArlnI6musZx2D3iftMfSHrw3s3byCJWEICkxQHY+phm3MZGMZpxstdpS
LTrJK/SeBH3Af4f0fFMNiJb4Ps2+/Sz/tru2tBOX0klZ+wQ4YayJKjt4lbqrMjuP82U4ToZOVZ7I
dXuWrKC3mLbfT9byyiTLOdpEqf/ozeHem+1swo5qkZ/gy68ukOsw13UtNi11sgGlICrHmAQvp5Mf
SWuTb6hJDUOIk2HqGI2o0WEedS2F1JL66R4EIOeBv9zkZE3frpquLsyNMNQsoxflzWwS5YFZVEF7
iKVtpocsIG5An6AIBAUhntDYD4uW9pzB8hKMnForg7swMAOuRDk3J1nS/Llg+MOUqeeIJigs/ZYe
0SYnjd8tOIoZjMUighOYjWTXGjOADDeofyzEXca6ZuFpNjQt6oZSREXdVsx8fHN4CvIiiCzW9ZGw
qyAapDgFGoC8Xus+ZuF9AbfexmswjTh0unzbIcN/sW0CvJo5249jPZ/hKb2rcr1UMhmvjJmJ1jrB
vK+Qp92yDdSvzXkbKuhLsZ9yqZ9WwKhHDctcKLqmDEF4w49NSwZhPr/zCGyPJXfJeSdcMpwYKzW+
Z5BnIr+hyCqBN8DwMpZmY3lOS9iBrbzmGhgOQ27j+inLj9Gtgv3crd9SYOHEITBGC4uF6WDSGomJ
0ZejH/XAdyD4E6IT2d8lcF12TJaGm8kmnTqrzA61VPraGs5HF4hf0SdU+8qhYFCz/VLjr9gxEhPP
lc+3Wnu7D7txlh/9aIOgH1iD2xyioTdM2R1p6sV9AHbjpKOQvlal5G3wym9jnegRhykBhm2uXtBK
8MCQ1mOOBX2HnXcM8Ypwrrt59d1sQNtv9qXTaNfuHvITTWqgNRhB1vraNMxtS7PaDLuW7wP4+VAR
Is/AgNcwkQMT64HwnwfdpNOHlMIbuqKlRTeHS403DLFOqGRZvHLbl/Iip8Z/EoyxiMMgTbAfCaIC
tLHTqgCCG+bmOweByatXuI9IJElJqtIb22yHozX6KbCwrNhGILAvgANl9pfAKSeYd27PaMGP7TVh
fi5o4fik1bSAwyCYIHfRBu7S1nx3mrlxInxayHg6o70FdCaP+jp7SCcd/xvyJP111Ocf5IfL21W3
tCJWsCGPRSetW6d2VWysJKtxsnZSYXaGJWmqICOPj+RxVNAPAgL5w0SMiI6WRjHpZXqBrMYeqo+h
t3zYg0OR8pmyyG8BE/buoesMh1umcSVD1CFY0Q2yQKQpsx7R+8BMlPo1K+iCfjrA45eKMzs2QJNF
m6U7kVrvlTuQ2AXl5IcBcQUAkk0sVqjl43zqppale15mxYgXapl/6JVfRV07Do/r1AvsXYN3UZmG
8qtx71aXXQNKEi9SPA7mI6FyBZezq7z3JPWwIpmDdxtIJ39xut5GC5g7UV9PVezkFjEbbbcSryC8
Om6l1T70lt2DWOOtuGGdgctLT+iOkcqNzLGAckEgm4fltsFBcEiNvtgn3iT3uF/NuON1HWTvaofC
KZL6ILwqf+E0K194xI1fq2nWH8tCJke98PKT7kxUvIlwz6JRGtZUjWAltG9T9Zya+FRRGWEdD9as
PweayQ2R6VMZd0wHzyaDT+AD2N9CQAxd5KpUj1d96O/lOssX3V/Hd6cjCMsf2uAKC7i8RdfRf2kt
py+5/1ooBJZwo7LeSIBUV+tz0EvC1GgfhukJY5gZEKeK6oV0iM5yQxupm4rzgvvhCnExTDIf5v6X
KfFX9yvCxnyNgEXyZCVwPeBG7GcZLr0LJ9dGa8COo8xelTcxHWi98ZEhBxpEckK0S4X58xVBcrNn
HkhOYr3O1YnIJT0q/CIlBcguNT8cIFG9oLFN7hX/9DjXHK99HTxONbXx0Ijxe1M3baRlXrFnuJhe
kTvkUswrfO6yVvWTkU24jvA0HCa/LlnKDsABagl5jXHWDud8NYRO3zn7yWim+8ommS5y1oTYZpWX
sSqM8bpu1jG0ibmCJjWnd2ZHVsSD7xV9e0sG/OxEARkoEBR2kJ5Rpr7XXRYsgx+Oo2kivqTczP2R
mA9PTPZjK1O3RBE9Lq3vkfhTBFnNRqTAQ3zFvA464ED4bbV2ICutIeMcnf2KQcbgWkeZuc6LCfJn
jNaJnJdjX3IvfmeLn0Q6aKL0Ooe1QebXAj8mZr4zIatB/7orNRRDmNf69lpJPDDjEBgPs5D0AobQ
Dit5j5FipHsm16Y79VyT0Sit/LorkLkm5uh91H1r/9A/05j6vJcFcLfuaSgxPr4aBiGvtR1MF8n9
GPoIe5zIJTXj19bv0qM71pTghoQizQbNe16LSY9hf6x2HAxVuR/MYX3TKayvpqVzEA1XN/ASdIby
9nj+THnqurz7ms12/TBNBoOnLp92IEs6dKSGhV80q9m9l8RHfYY+6aIcDnOpjF3fFy1sVVFHbCrs
LwNVZCxn9E9rYxRxyrOO4lzgyDR7ljaVd9K6RkVkHKsHmebBvof0/ObYs32EOtmFScnJVLGeDL28
zQ4Im4n7ayGsI3RDV4ZyZvpeBZo6VKZNvGcWvKMuvgWhBgVMgiHqTHM5CqMSlFLk4Ja0tDMyJnuK
uW4I38JnEIulpL/hotTZRuYZU6waX2TFYzyZtfLbQE0ftoFXH7U8sSIsdBMEOrdB31bJYafp2kIC
9MYKS9hRwdLSbj/jqkgYO45zWV3mcmQ3kDYW2tEtvKqCA/Vr17n2JUnynINWkPmK2NAm/oV+t0MS
BwZxt/aA6/pSKh4603KfST24UXNaki+eu8cS321sVuyj9KFtz7lu3Pl+rfDrDXO7G7v0bfCaIiJ2
nPi6zhD+TakJsLm1XsZGlQDWrdgVpbBTQ2sa0OvgY69fif15FcTCgh7zDyxlDbIpO/WugyfFw6Wv
J6LS8Y/SeOahcggWmpu0ApBpMX3wUjdyV8SwgZXFik8rNJv5a+fTRKRs21bx3hTVV7ys2/U26m08
yqZsQyhrMfGeZljlQXIucnChZPMkgGCh1FIzG/pOY3tVxT2MsjG1Z3HdukXD1TJ4B0MvvZ3Zsz0B
JVXeMX8g23i0GTuC5mDvNEjqbQCdbLK28c+MD/sUCJCTK9bWY0pO5q9TQ4tWyEIdAfKM0aQJ8x4G
CxOBrv8hs1mevRpTug4H+IyJLsqypTv5WFl5AAP5Mr1a3a9bXFiai+/0a5RiS7PJudeiPjVjp8pd
qoblRcmEmHM1XSz4bM+UUk+5JjCE9tK7ylxr2ol5pXBsWVNMK4TZbNR6YvnGb4EhLpMBOTorzGeI
PSQHKtvedy5s5QlR3Us2G4g+BdmIyN3UDuKg87Ru4nIHjRQhQtk1tKtXlnoDVrLssXeND3D11H8E
y8LG7ZrHrDVfLbRmJ0s19jvKhD7S096KOq1+nlGrfnQd4Xn7lF2kxHINxo78ety9q1s/+OxqIHel
hRHJzsdIgncBQ7dSPQOKZXoQhrG2YeUnCWMnOU17ZwAeRvFfG/Q4s4MIwgoeGg4sGaKmb11+Pdwb
CBJx/XIn1LGrl/2Z/Dnsu3k60+okER9V513KwuluFXwcBKal1qJZLHMjdM0VW4ryK2OIRz3rbkzD
9U/8gb8CqfZhpuaDXbQcHn6enYNOL8+Lw8OVWM4fSdmN4lCSgRSjZ7BDjwg04Arzec3xzWq68dzz
SNpVhiRO0dxmgV0Dsj7YsGcGUnruCaq83HAOpkMlnA5bthtRw2oih2g8ekpgKVnPMxf8rkKkSpit
diH/ilqncgSeFu/MAl7u/x0BR8Id1peARWpDqc+KcUb4YYvrPlX3MAjf9TrniifrKQ7m5l7YXRMx
mPFOjY2Z3NP+CIjz1lq7nUz7JTfs4QoeYxdNvZvvMI40h0zv0hh3l3GcC5qz3hmHUyNTnckFkad6
6bx3/wqRK5Ip32Xt8q1MDSZncrH2XskWsZDWd9IrjEf8LiWGqmXqd5/Zcs7gqUfOPjNEc0dwmC7G
cy8YRukG6WKJZl+AhGvMWfIcZbtelsfAbS7wNwfAcRbZf2Y+BWPspcaW96xn5VnwfDSCtd2X+dK9
DcBeX7E3WnVUauv6A1kgOChjKbU3iAf9radX2rHggdeDnvTmo1+iRvQw+++QFRWglPL03ONwjy1Q
09+ps7i10q5+ywvDv/3Mt1tlNv7Qcvcj7beMuyDThrNgDH2/zmSLO7kHkeDfOXcmUW/rTT/7bcce
+185d4G0umhdA3f/W9idWxLB15k5ONN8Jdkx75Az2nqi3RioS9RvsXd5op6W1Pny7+S7VMCh5z5Y
YrcfiOwK/OdpA3OTLWE+pqTd74bMuvWNIUGVCfa4qBOfZOotDw8FRaldTSZFzfVnKJ6QisBrO5Dz
PsVLuIOG6I5nGyUGJh2E4sXhbyF5Ze0a2N/XgvJuasFMeW7bP/edjThA+L4KAUMFbEJ1ZnxLVyTw
lwrjFQhgYN1MuaM/ka5roHoQ4/oylqAIuI1RCv01Vg/mRk+OSzfJwySa/Hrtuq6PeGDB0QWDQsWE
+AEIuawlj/mtEuKUef0pb68cC3mEGdFiWvl36F6qVWpn+9b86IwdEvlGLzs3pA3z+STIQKnMIX3H
fFOkUYMfYI6YqeEcBSpY7n5K4PMGGu/Z5BFNCfpzDB8rgvsFlRhLWpfVMjgtIn7H6ZDmibgH2WW+
oGNp5sixObDX3jHusG3AuPopqI+zrL2rVk29/BbWB81pDAES+Jd+0eQLZmp41vW0HMwOgSXN62Dd
Dw7Knf9vjJ8cfPUIz5NhKDQI7tK24VgF1O83JjVjlkX539L8rD5Iixsm/ES0/i3Nr4fJHCeyT1ny
l8MdEBLkFu7SmbHFGOpJR1twLmyOyqbKlo/PpD/izCjUAB/DC2XAdJMFQLAAfufEjLlOi5GKp27a
2jzMuKQimp081tMBlRf+ND1kNHrVQw87qQmVTze45TW642agsjf063Ztpy+yaJC4uDNUzkyb7J3b
258Rq8hZStHdOGzyoVIbRK2ptTugk7J3VleyiNX6SV78LTuQ6S3Zx+3UPenUd9d9K6b9KKn+GWd6
TGm07AFDDKHOW4rgzC5jl3ZDfRll8ENThhFzOCVHN3MkfiwiBQPFrWEVZhbnAkgEyQF3zezOpwlF
/9mFCwLoBJaCLek6RirGHfPm/jxkwXj5TBrETPq9ITopVsmi7wt/eYPxke3MLbwg8QvGikaCeUD0
y7OWW8ne6wkz/UwiRMrtHzLF7lX1/4ojbMtmMRm0kZRpzUbkoleHENxSy+oruJvKXna0Cutx6WcX
qp4xjHc+9BiTQq+qop9SCpeMh03hwKZnnqXKa43YiclhfcOM9fe4QqP0ofy1641Trvx/PbkfrHm5
nWSzcdHK52Awv1oph7WjNXFuW2vEpOQtaHqYI9B8o2nK0ugz1bDxtHZvIhc+TqQRAh16WP2OVsF2
nF0w6tB70/XWIlY3BNH30g2iuEPJjI3dPFJYyYNabfVN+yMA0UKlv9dXKuT5TymINcTt+2kU92Nr
VkuIvYNHO3TdPsoq7da3SLwktjg7CTQcpJNo77bmjRcyYvuw5/wPf0tJtAP7q5ycERjKfK06SIJ9
JV7+qz1uZC6Xf1hbsxjwsY38z2vrUzu9/Ul4/NsX/LG11n8xHDTubJk/9cO/b6wDFtY2Un80FRhB
EP2gQ/8Dj7HtuV0D/A+auw0ewJ77DzyG/gsGeJwBusv6z9u+6v+gOuYu+PPCenOEAAJx0TYjcPaw
h/x5Yc1MRKrGy/2zLmoSFouBsozd38NsOeV73SjcWIg5PWzJkPlY1CblDe1D/1oU7kBz7A3anZF6
1N8ZA6M725LJc7maiX0l8nn+kcm8SFE8WiLZJc1oMQwgH30/kvUaJyhBnxdHTvdj3yEahptYJees
8Kt3pRbnWmGvfs7mtuhDoov8OpRs/vFftjM4b2s6sTrIT8phDUfop8D32gQOm8Dact/B1kEkhFrM
Bne9KYJZvUhAQQ9loo1wanBrftAg17eppi4lZHb2rU1evK6JJd7sJFUvc0rkqkmv8qFZSDM5GBx8
pP3sgVtTQR3NizXcFQjDLoCmGSgEYDw/iPfW7tummFQI/iG9UZrJyNjuPDdMB5+n7MRe8drMipK1
O7vxgCS+MXtbu7SBFZYMsaOS7JU+K513ll/7bHYdooADsJGPi5Flt6MznrD9tekxh1V8SHkonx3T
VgcdgCbbqLp2H+sMzedhbbLKYyCUQVJu0SWvYVYS/oNFrA3eaWhnYnj83tN3yMHZNTIL3IFMFeeR
/X9cDAaHsNnSCFViDq56DtrQgRfehHrQ+TdYlIJ8nyhvfFBeLY5QpdtjScTKd8DkmEYDBDPtzl7d
7lFUSEQNz9cAZs28OZzmEp1vU90abCP10E/X4papUAucyvHU1woDVkjbI/0rg0IuC7N1YdnAVDc4
W7qbyCitCaOoBkYsDeCmHVt3sYSW2wncyzPVFmhlVnlFTWarmzG24zD9GPgu41GXq8gjzQdWPrFl
sakfV1CTub3KH01vudqRBrF6Tsa5OCmrEWx7lsJCF+yqtw4K7x1rJw7/rnFQSFs9rYAlLGppgLLh
nBvT7SqHtHgWOukBNOSan7dsiFdNyoNnqJxhu5fd1Saa8+qdT9ekTsjqPue9ZaRLRQ/jrMcoeqMj
tU0I5RYBGTotj0BbqtfJmdyTTzjKl9TnZyQDk/gtcnpg4jo18P2Qn6NrPyZw2fcaxAfW5QX0ApwN
50XazNtqpL9aYfW7pe13COYmJB1GH/LcaOOBJTq8JyPZF1lJ7oYnzTifg43kynOyKo0rUwbGhYhe
dKqt/aDbwRFVrUNZTP/B2FGPZ71ZjgjveN83dXYdKntJIoo9rkBCcvQbDKuLG23U/Z3VQw3Ni1We
zbqvmTLTLVpzMF2PuHoxDtflQTjjyGSvXsWVO9CvmcVYs+EGsoPH2HUOzF/kgxYM90gbRFi2xQdG
6S+GxjFQ+SURZ60dFYAXwjYvhicNSskN03hvx+yYtKDZMR57u+TU8mv2Z8FgB6HuFoDCN0tXMaX+
TkHzD9XIRMdungM4CjjDubEJYD0WMn1AkZ3FdUsDmYim2RW5zlBpHir/2DOS2EFl3t7tdnrSLStj
vbUEKB7slXmZi7OMdK4HtyNFneOpBEjRO8ilbeYMTkCvndrDeAGijj11LuZrNOPri1XZ9levRtqK
tK1CiZllZ490gifPwz7QTWymOKQGzhSPjBWWuE6iIQqdaQGzkipFL7l7CTst7lbsc7+Waecf29W2
jyQvFteTAe4kTgeEronJYofQwHo3Ddid0rwU0PphVXh97V+VvfmGOJidVZqr/YycGCaEkDH0Z73k
Nmyy+6lCskvf3FQ7eGC826ZVcKP6WoAwnWQz3nNrm1YjwZ2Ji9KaayLrh1tAH9O70h0tRjuK3FKa
eqzDjo4o5sd9P/j1V9H6PsE+iEF2KR//18J39qYzahR6c3NrsCKPlirVn4DysMRabPnqGan96Ilt
LCEyxDmG0PdVZ48XtUr/VKBfKpFqa2Xs+GbFoZvl4yMVYXv2s8F6swYuacsSE5JR0VzgBAy4YRzj
FuV1uZulGLmrpuWR0hshcK0Z+Y1UgbzGTqGuGWGx9smcYqeKoaRm9Dkyq/QWbFxxBM6f32nl6Plh
qXwPLr+VRlYhzW1ln61numhit8uivsnNCnZ8s7LNqDtn+LbkZo6QSlP5NbXscBzgxyE/N+bv6D1L
tuXd+mQpi7FzUnjYsZEBpaEnhi8incxrNKfT9Tq1sPkqVy+43kT24Lij8WjSG+7pKrpomQQaF5D7
2UsnOnRL65Z2OLRQQDmYxJEn+vyW4TV4sjLbG1jMGnOMXabc6aa9kk03yjOJ7/dyXIbiNu0tQ8qv
7EkCpkHsuoxS/8qGv2qO7ez1+YvtmEkjsdW5I0+iEnri7dpmVP6NNdbxaLgiWrB713Gnz+u7L5Ub
J+XSMOVnqxCS9o1bpO9xbqTZMh4mvSYSYRYHKNgpJIo8OfFRVtFIsti9Bcwb+L53HlOGT8Jl6/ff
+vh/Ux87cF/+U3m8e6vyj7Zv8j8Vyb991e81MpuYXwzWypS9pulsHrx/KzvJUbZ1B0esrdN2Gptj
/I862fyFRw6JdDpe6sD85A3/Xidb5i8OXmcbKdRvIP7/E1TY4Gf87BnViYk1timt61nwi81Nxfqz
rhP/QtsJkodumok8PwXVjY2MVWwoQ29S9+BNl3Mxc3TFOnQAHDC2+oLiB7X9EDS/92F/inr+OdrZ
+ItnfXs1NjpYJLDoWRFwba/2J5UpsMeuDLJR3XAukTFS4vQLR691GQopzDehmuzx1QMNnoec2lta
U9Fjq03WwbOZIHjNeyClfsv3yJhuVpXxZXU03zgsrpP8aiyaMf+D5/0TFfeT5/bzFRPP7LNHdpDo
fnpyf37FORGOPDfkjTXTRzCdXasvii7K2uO6Yd2uFrIOoxxXAZIDd0FOVOoWWsCevXGviAxEFj+Q
P4MTF21O3irWvJlOod07TMrTTR5bjsG5HgLk5J6uA93JxFUJ9mYGOKK5l7zPVH346Sq+++3l//w5
/P1joEHTSUBkwWsgPv6LY9PjHJu0rhpuGpkACkrpT/DqYX0Ju4ZAXxyTwWOXGNU/GJj/4pdH704z
CT0RITSwbNPaXtZP76Wjz6ndDWlz85kiiRF+JD6NUthPsuf//Av+xaX9+ZNoC3VySqHmYZj+80/q
MECvAsntjd/hjYe3hBUykT6jnLLLYuboRFShjfHbXWE5U/1PF81fjNr8eC4Ukw7Ggi3H6fCXH+95
Vk6yJNDnTZD/Vhcji7lqew3OWg+MnwloWHQ++sNUiU9zZOv9KkmfO0F0sa9n1+r1nTUVLfsq5Mtf
rL4zofEirvq106Af6NpaezviH+z+6Fgu2/7//O79FbywvX5vOzagGpo29+pfxeDu6DQOhRgKlIRx
fk9/EOJUlXiKULU16RkKTvk99YPuel5FtndbeyaPzFDeh4Tc2+6WLPV2dluoX/Pe8t6Vgx3mn+z+
zt8+ZGzNXET4ojlbuTv/MgFgiZfrbLqsS2GLLV4oksRpHajOoP5LNYJ8m4WODmNhuJRlGQ44ozkM
Zt8dKhvJUFmJ+qGrHBAmXjWlLxOiutOCNTbsHNF9IRHHB+/SJFC0t2SCXFqkFCTF0NxMHdEFYgsx
SBGgoE7/zDYwVVYfyZKsHswivcNGY81hNXriRpKLIKHkWqhfCEsw8sXkbAB/tiIg9IvrKiNYgcQM
+5xtYQvrZ+7CpGd2jTRryXHDbskM0xbSYEzENTD1+8HMTj6OukanibTEA1ErRuy0pvkkMmMqD4lH
VUe+aZl8D/BIbUHVQkOy5tVgUgbzVLZNdzJEUL3nqnO57y0CJtgiz16ottiJfgugwADUHQy8ArcC
vF1ss1nYG8ZMZkXlUKHuFP2GoOEg1qIeLAIu4KBQGJN5YRitPPKoMdn3b6EYvvSqryzQM8iEQffo
WJLwjKDQTDIY6vXNZxVCL0do414xXd5r86y/mVsMx5B2zINXc0vnaD6TOuYttMPa4juWdEvy6LdQ
D1Dm9bHhn+IwsGGWuZ/5Hwj5wEN5ycSK8TMhhNVYsrM+c0N6EkRSe8sSmfB+YNndEkYKriT0r3JL
Hpktb752y3WtkvuR0rKuSRGslqZ/z5LMNNfXYdJmr8bU2nOUtz/MpWaR14ejHMdOv0FNXJfzOcjF
elDBKJMTLXPehQX6qEfdIySwWCyCREc+gyQEBg/cas1qn8DvJOF5CI19ErFLNajveqIZk9tM0GAz
r1i8KYvgelCwu4O0uKImZJEbN4pn4d7VsiK5xQ5oQXAQmHW54KxyqPdNlffBti+xgySeVe5CTMau
4qCwJdZk1w4JBnfG6FOCY9VjdzwkVAV7rGhkn/mrw4nZmLi4iRLe0hXZy6fD3ZBrKKzaNPc/cEB4
jLj11pSHHICQf+OQgZGcGwu9G91EgwtiXY4D7pOeiXuaIWNLWCsIolSGJkdBDNTnqA8guXaOuZBv
iGAQmXyfE3O+42M1X7SuXo3IslzS8fhP126rQteo5GXTvLAVD+oTKxhZxWUm3YcVSZC1L7aYNhwN
GZqO0MvMTB6SXrG452FsnYsUl91+7HgFaOqqdI19Y15xyRZLN11qH/pjrHGr9FFiGCxfseRUUZpY
6Rh5gLYIrfEG6pNmLSwiuUpcfpHPC0DBw9JBnAyd5JCU/be7M8tSWFHe5km0MqxyQm3qu+COnXDB
TiUXJNnVxNlpVxD87b3RJSlSvizwuthYMriGGYMastyJbiZkhH/HggGeOpdPaondDP9uhbeSa9/6
ZmkXLWQ6g4fGWEHQI3VTtmY9LdVkjjduFwAZaOh9L87Y8EhCC1LyBUHNiHWf5JnRvK5G1WRn8oer
eT9MzppfGTKVT3ZhOm8OvTMpjAz7SKRs5i182F1BE9ajsfEMLdRMO4IxY0As4rVCAIW8JS3U4+C4
0/euz6wj6jpiIv3SQbjS+Anfx6laEuWanphcIHaWfT9Ix3gy5BbvhhIP/KEklhvLM0C6/NgjOgfI
4KEQuM01L3hudLFdnEWxpT4jOh/uZnpof6eLLW4pmxpeWDtw6F7xBCN9EcZ3Hdeckn3EInAmSGcg
mvmugO9XPph+E9in2S6m8UK+91Z8bpGdTqm5c9ziCZ5ObbuC2pnNWq4HRDTbL7+99Inzide1BSUi
Hua3GAVOcqYY7RbjVypuna7C73nf9B63fD9SFaT8HWeqKQlaFIa99A0ugIy8xQyi+3iptQwfDw5R
Me/hw+kk6in8UHzq3Ew7fiMOkDkwtjpZNvVzggHt7Ks8R18FdovrYiGelSnblhXYF8uDJWfC81LK
3IKUraYsHn2eFoeh0Y2bz7hgWzchReBhyM1z66fBeJXAnlbR0ntiosBdMGGZvK14G8XyA7KyczeP
g94ehb6o8mVy63Q41olWfyxrsJ0huBCziD4A3ExuLtmA9qYOXjSwo/t66lIRejbH3NJP2UPeyuEq
YHjgRI7ZmynHnoMLTWVm8Exwokrjymy4TVYtsYKT3bSG+JW8OuKMAVxzb0zbiR0XjsY7OuOBjXnI
TOLK6EfT3SUBqE2etJbaYidF8Q0mZfCkLZTp5zWQvfEuGZoMYP8MT53yyeRbzbWRrXiAUjc9dXws
KKhLRAhrq5S8zItXPRaKlAsfcZBdzwrMyYR8cVfqxrBCBCnb9tK4s30N+3GT24umVlfpAjZzh1+k
zp6oRBChBFiAQo7OQZHvPEwEj00KN0uTLOIReIqRfzVa7NDEyVKBLV+QSQMFzQToBMz/qG3OWtJN
3wma0tSu8ljynnIISfeYcZP10I9iwFexbvlhuSkL6w5V3erc1G6Hyl90SncvtpHZMx6aYhpiIr/5
1EBXsmfuV9RbrLoHhsGzNfeRqoDdH1ZfcPWX9oy3bWHHitakG1zxMjlEchYZwUrcDnnwzLVeY++D
CMoBa3ZBsffrzJ1Q6b2aWKp9g5wK5X1xzAYI5+Sk0r7YSeWrB2bE5JguKVc0GmKLT5PGgUCw3JIk
UHt9l1l35qxX7gn2bcDvNc9aeinxO8BpHNg4gmzAMnapILjQRmIj2w+ZX2YRomb9tBAlC/PPdeH/
2UnmXT5L5/9Sjv5x0whH6Kcu42+Yo1PzDnju7c/Lxs+v+X2QQjrTth0Eq6Wz0/t530g4E6C7IHAt
69PpatJX/jFHMX6BD0dbzLSYXCcWjv/aN5Jm+P/YO5PttpFsi34RagEIBJopCZAS1VOyugmWbUno
20D/9W9DmfnKlp12ZY1rUF6V6RQhogncuPecfZx1v8yPATrCGv+PKEeW9WHPbLmGMPgt7JX+B2bs
I16sN1WcLPGknYZimXzR5Mg105DmIsY9zCbxMpjwYNW8bFWvDeM2i0yDyJS2uFjskAfMIAU1CPVk
eHF6o7haSAx69vR0Xq1pGYBAforxHGbzHfrt8rmQQKoZtZpXbTIiHUSpLi54MbvLlvZqxNLq5fY+
sd1b4sfyI2+L4UofPhdV24I/jrP7btDbJ6jBg7Zdhrxc9ple42Emlm0iJA+txUYTkRn6k7duVEQH
hiVAmpkxC8sYDIm2AGQ3m20YVCabkGzinQPwCJ1FNE8hL389XCxftqZrBTnacJJvhZcaG9TwYt+w
E4tX8kt8Tq9pcAm3cRJn9ffaAnU35XKt6vqpglUBCHLWtz1QTfJ01PjVLYbyCbsO3NLBjeazZMyQ
BtVp9Nmk7IbnZFYQlPvd0FMo2r2pb6fEHS8XOVXXUjDh24zu1GBWKUZnT8ZIduniYL2xoEvu1j7q
rCqSYUcE7g0hBEPZtxvbmvejmTjXRqM86hVRfGUiYkCDKhieSaMGf5F2t4TBKTYKSrETmgWJdrWR
I37OyoPsWAzJ6+rPXEoxjJTKaA7DwkBho0cSMxacDefc1QuT/q82ExhS1P1tz0oEsMJAM4bu03ik
TgwfkbuvrhIUjSTfaOfjQooNAhB7U8Fn2Y5TuLBBNPqHnFAXNI0eaQBj2DZnMRKyN6/1lnQTzStV
RaHCvhqsMseJ6q1yZgyL5WZ9vV3k2tQa7JT67HOzhgxFtPskUivoxQBbRvWM1gp+wRjCeQQJIqLr
0mUdP1l3o8e4zsSDGRXJjbdIjkafqb01CNvZ9U1snRlmyis27qsY4h9C481c1b4JvfCEbMnhGEFL
2drkYz5pZdQyGi2817EdnXZn60UE00qMLqFXTeMdPeJUxq3qogrmTCTsayyCq9vMZfTC5GvJvlp1
hayNfHK2cuhTfE92xrYpjPKO65h9Gg0VXztTqi4UNfTBaTESBQZkIKAMJUmSNviL1bxR3bmi0en4
d5XytYa/N6rIumCn1PPahtx/mZa4fhU7bZ7yxwk1/krKieC1cXpgt+g1YUi4D+tDxayaBsLkDZg8
j1haeE+dl7o+ld0GnEm3gFju6SIMEMOP84jd6xADAj9pRvvacLGd1ZZDZ0rw+mW45t1OcM2GQE19
/kS8zbxBfj7kvoN1RSGyNqttCQztlkqSHKo5MRhHWHOzjctEv7RAfZ13OCX2VpPKjaoUIGCIH2Dz
hyxwBcL6luflGCoqS/YLQ/4JZ7cg3avvdKhMiVqwE1r10uu31qLGVb3u2KVEE9xoJ2Pf3ls5tDAt
cz0Cv1p0DaIdDkOE17pCcsggDAhSPuWUQn0x3zADM0/7NG82lSsjJsIqvxlb0R7zkfGllaVMmYSX
B07NhaQvtSlCLMpGE1/ixt/0OGA2epecD+mhHhM+SWjNviddPfAS88kOYyTbqXZIsVP10LrIhjUU
H6PhXGuUdR/TqTsNFUpNg9OyQ76qrhLdevJQ+/sjOC1K+0G7QNsQgtdcy6FefyhXqTJbWC7y/NKq
4QxGTb4NO/0spZZC+MWkE1Nl/GkSCDHytLp3HQbChVt/hd6RB1NiHnWyAvywwygl2it7TNPrrikf
rZBpqTmfEXiv7wq9uh0SPNrFBJR+1On1YJ8afLPMGbH3EwNPJzaIrrKZ+KJabBwaBfZFkxiKDSmK
ZIw0O8Dsw94Ug+UbaoaoDrtS9x0viw8QyLDWos9bntZW9IU3jdaOcdbG5DbCrd0z94uQGOtaXx51
EFd7jdSkPQ1U7qYZNRo5eine2Ip5lZvI+qaBkXAUS0tFFSVdfpNBTL+yvfbFqWL9kCWRcYZHuAlA
WbuAxHFCrMtsQwYCJtXoztFbQrMI/vCbSZrBkqjCp8KeL/NpoREyGO2nBUP7VsPSd4kV6Ua2WsMj
kcXbdhjUZdFmxbYlE/h2yMPwhimctbHWJCxZ6UQZcpnIhRj9zBQxyPLwc6z05sasnZGi0ZvOklaJ
o83W+bYfq1WPYx8UhLAtsARWfk1/kPTf4ZfyR5xOIY0HflMzc76O06CODINx9vbTvBNscHY96Xxv
tgrLy2UMVL/052NnkVzf9sq6ZI3RzmHVOXAn4qI5kiSf+41TZmeCUfdW4lvce5OKv1p5zrPlVUpt
naw/chPmAHD0HJ1OiGcYsDP+o0XRVNOvHUtZfmem7WmxCHGdo7LztX6ur+RoPMuhtQPcGtltsQ4t
ZeeYDwx0GjbxZmZwZ8S4aakL7K1hOeWOkSxGAxrIe6NukzNtsL2DVON8gmNwOrU7XpFTttinWm7Y
hv+/Ovk/mTiSR4Ra7u8FeXR0q/bzS/VtnfzHz/w1b9QZHa7qOupQRgvmOlv4f5IMqd/StqhIwPG+
V7zf1MkrFXcdBtIrZ1RJCf3XvNH+F/1zyDM2CFHCdnTvH+nyPo4+gNG4wKGZuXA4NDhr0/6bGY8O
bgolPn0sIPZN6u0Yf7pz/9gOnlW2h1QvHCQUGRycON07qsOKdc6yX4xBVIBHczoe49mqowNdSjcT
F6XGLMlG2dOxw01xgJL9pvZYzMGQ7HGhyCQ5l9E4INdY+LchIla2p571SZfD2MBTiPqin+JzAzvm
TDjL6DraJgaCt+V2h/h1YD9CEyUTY57MgCfCQX9CoEpoToWuuJ5v02YxDBG4VjQ6N2489bF3lSQd
2dEe21USDkwMwXTSBG+Avl20ecN0LcS4JCu6r38MZv63u/zN7pJBOLf53z81/mv+efzcvn771Pzx
M38+NQ4hvtyMBN5amInIvv33lJ6/cph2yfcJ/R9Pxl8IXQ/GEo8Kabncebow2OD+9dCQF2wZpMxi
vDHdNa73nzw0hreOqr6ZMiNhlfDDgTmxxYSkbX8gnWfpEIP98ZqT2Z7jRzYbq1W6FoSigLkhmRoN
U7erm/k6r0yK4jwetuyJPXJn9RoTc1JinBCL8RgmPROJEqDMli7Q+Dp1tua7fDgERZCweUROgKtp
vKDyZ0sj4kOA+diVbLz2s9CjoJ08HjZOYnKC1VneAgwqzycYkqBHELximtaXE1Q5obUN06I9oIfP
/L4KSQFw8hi+GpZTmuDtGTsw3A0F70Jtkul+5Jcz2VPa9amzsEGqtLY7luQ/HIDwPqdOoz0meaHd
RU2JhRvdE9MhM2JKAGO7dlV9tUzEhBSTumFP+CK1jC+J1RQvrXljmXO28yh1/FkKjW5z2e31KHur
4bmOCD+h5AD76AJZE+NuNkSokPfQHZHq3NgCyEbidBcdSl9caeZNYrh35IheoPMtN/FU3rKIGOfT
SAZtnpXDxnTR0plucV7Nxbnl1o8hgq/tYnQTKZvRs2cjnG0Y8q+Y2GwmikauSOCqusUetjwR+qT7
tcA8krl1zxZ6HrYJ6B5uwbtJhJBumJVlob3+Cs3Glny010xi7yyOfiUyTWOumREvyd7/vpp7657G
XLlHsVbDKWBPTp91AkHbUbvoxZta6mu0KctJaGmHdWPwubKM9q72ACvECc1ivBw5zT6zvkZucIJD
nr6x7JqreYjbRytz72yVVPtqIuWYqhKqXZg5weJ4BnFtthu0ufsJ47dGtSnGT8DuWbWLSiG5jshs
Mr0Q65eOt3LrNLq46QjfvSwSxpP+aMaTC+uuWQIy2G4Fso1AtGVLp7gSR1oURLO7RKKgQKRzy5Oz
SZMhWV0Fw3Yopsbbtw02lNOoNoxNlNBCSQ3pIrMe7IrtydSfRRHWmN3YavITDebkDOiG/oxda/AV
McwYdlNcXaQhVdXOcJl1stWfdQzdBNOeVhBIoQuk3fxGyNKi7dFkVuHb7DnjRW626EQjHIJBDs6m
ZUMWgSlNjdv/lUf/SXlkmLpOC+/vV/r9a9VG38ux/vyZv9qI+r/WZdSzHN18Ny5QgPxZH7nyXxCh
LVQha0WFxoG/+mup/6YewqcgyQQkMg4qDfrJf7KyE1TxcWVfXzZ8GK06srmlzYG+rYfgxjDjqtwc
TFH0NGbxtOkU3Cbb0R8xJN/CLjgpme88uoXxODMuI5Nu3hHucuhmxw0WLNWnAvr3qcppdZfM/089
suP27ayDQdMayLaD177N4WD7VewQsOIq/RyZYv3MK0c/auZs7pFy977I8R7XLvAy+idr2JVz5MXh
XuOIZDXqirOSvBo+rc/RlzdNoDQT5OtotQe9a7fNUFzNypSbukNenOa4dJSz3ICJkWS6jM7WmMf+
zkw8Kh/ag4wrERNZmnHD5lruaeI82BbdeHMc871T5PFFpyfGWYqSnRdZmVwbtmoDCRP6mg5xYCX5
PZusTS+mhdm4TTKVM3yuGDFuBjGMiCfq6UvC++MMBNnCGwebdE2y857tix5A83H2I9Oc7YhLOmAp
funSSeysnnZnktnQAp3+sznMFIHdcCBxnGFUwhQiZVy6X7qSHglsozF2ymPRqF2Xzwx9tKtw7ZX1
WjOd1MJjkOFUxtGrzfyxQ9/ywEK/K7zxhndBccwIyDhPcrcFAkRGT0bYaX6BWSQawVwM+rYpm+yx
X6rkJkOMeipoDbHFLYkoqaOhvW2EFt5CapRnVjbjotMK+Z4F1ZyjqUgu2yofH0PPVC9QgLz7qRAZ
tNWqB59ROQTRYfQI1JhZp+ic3BtnzfEsc8EoMzeZUnXCrZ+cJHWwiztDfl9mpTxjc+qBKMuZXZYL
/SD2oITnRXqN4RfDrs8gxuDkeSaJxu/RZMqsS17ea8bgUpHcjByGV1bjlg4KabQLDKgrBFBEBJLE
R3m3M0cnfXbMQbP992g2IPvh/bsawhXEkU0FOZyA441LYU/VmUVY0jkI+fS5rtEcb4AtkNmcZITa
FFAPg04X0zWWwOSyZ0ZbIuu2JqaNiutHp+oECQfFuUwIZmwbFwWYLvJ7Aqr1L23viFO8MT0+RNVx
VtuK/yYepmtOIDF308yozNN1426oJClyHR8J9Gvufb2M5msTXOS9xDSenUjC7dJNM0fzkeQCfsei
0qcjYc8VURwS1oAgXDogHYAPpD6Im+A9t3pGkORPXVE/4YpM6OATKLyZwC74APwArTgx3SJ8mqQJ
NZZ6QT8y7I1e1K9yaqfrsK/w7a+/WRqmtUsX3ODjc9N0bqIFZEkC6tbeijB2b6yJe9BaM6rzIrYO
pSz7O5Va8J5sxl+kz/DFkc3g0u1l98kBVfPGyCw1T+XAIuJjN5nhTikCw0YrfX6/06gBOdoCS6/f
GLMpz97zuiFXV1djjSaT2Mi0BzPY5PfwVcyHERYdRLjCcm7gKVunFQ6TozHhVW1bahsz6h2LbE8u
ak8Q+EErFq6aGY71LkfV9PKeqVTqlY0r257PyCYxj6GeuseRblIQc0eiKPdk+OyZ1J2jJHWbsnDi
g9Cm37TOjH4lj2Lt9j0BaLHT6hYotLevqDDwQHC1oPVUt0kE/WarslXObXSDu61SztzsWPKcgYAV
bmyXgtu3Iz6+H+cIS9nEXb/wR+K6Ty4Wqq3ZVMkWmNelKuPLgUK919QdcZ8VXIPquWQiHxU2LCv3
wuz6K32MruPVeJB38UmRtm9y9M48UdGd0SjqTec4KbETQ7wn0/I+apXtMwN1z22bD6xDSeyRBl5r
rrbgM6tjx3uMTDVRQTNODPto1Sn0mNS4RG9m+hmBfr7t1AIzO0KfpAByN3lMQ1NfhdVBlE54jdZi
ujImmvhuFc0EGLn0je0qSzeg9a0A1S4wtLppT2gT19vOzZrY1xialzi+UCS8woUipp3Q87N06VVQ
mhAqhCm/tkZHN0neWB4JhdnQiyuTQvVJi8xHpblf556Jw1KiTsoH/FXFXA6BVojZT2k+rzmA5rCt
bZuAXoi6W7Yxy0sxyK250G+V8Jd3dQdMM+3pvzvZHh9CDAtq4QIntrGbGhCf6ThnBCgZn+yZwbDj
NQyy5mIluYmTkUXY192+DsiZIjnTA8QdLasLqXpqkONBaKn0c/S8zqHlxt9jJNMpGsMn3SDaTisA
khvzm5jrY524zmtismtCzaA/O7ZGAEaW3XWGSj8DPRcBzzpCDtGgSulxYDPi7tYWh9VshmVhPRBD
DlNlEcYGA6W1JcWV+vm2KdRLPHdhoJegCae4HetARENC8D02kxUD1/YBg8fyvDJseItjdsNtRVyC
HRr4H2YrQPJTVhBUtfQkK7Pat5QG6MYw61clGZvAUIVLgydZ1PXnns2l37jK81NjeGS8xyaz4m3v
mUyHNLv/qlv6UxOLvT43IdOVGv+aAFgiBYIQvMXaRWuBn55LfWvzGFK0l9EjSir4G0r4naG75yNg
qYAiwX2xHDkcHZkYnzKqbmoIduFbZdnzYezCEV21CW4I/Ev6CWMGiW/KKl4V+6PXrm3zg9dCtCgj
FfrVoA073unjLlP8bARbic61fumEaXXDnHnyo7ihshKa3Ix1617WQz0+wzLMn0f0M5c2iRpbJMDz
BqbH4uc8RazkXdI7jFGAIIZZ4Xo45NPofEAOZBwwrhgTI9bFpjvNHNKNmkLnkYjuO3vSrmzgxbST
zAlSJjjlbdiC9xyytD93ZAsn1SgZGVeNrFFcLyNBmVNfXVYoWA4WaqEAKuYqi2vCe69JuuOYLUka
wJgty03nldplF7nylEohg99TNXjdEDSyeausIG6nt7IwzSujiLpPI1PjE0S3zYPdACLJWQt9bJdQ
chyGmJoFCVJ3ltOsoAorhkE76BULWG2YzUkVwvWtYWZt03AOdxVbYn6tvNnPVv7FwSm2UW04XmW2
pl+0YdnuclG1+8akJ9GPWQh7or3A/LqzNG1PRh1eTHd5StuWOWBaDjliNWBKi5EZmwSHy66wdJpt
bWbtl2q5mJIYUDx50htYPKsyTA3XS0aNlw2V4s01uFf4fPLbJlXjicuW+El0pOiQHvFK8h0FCP6f
nVfbWHVzBjcacWy4bJKVBsx0AU8buD1XP/IGra5KB0ZjTVoYSOBR3ot62k/jhIVeLLcz+V+XDHAM
dpVuup9LY0+gC5EcRhtUQxW9NtO8Fx2vPKjZOcymtMdJOE2HBAYlucQqBKQdnidRc2TYI338Aenp
jCMJvrMbe52fajFRK7ZYjl7G6mqcOb1mJ0OQ1jExpPsMt2h0I+wUSoDZE/e14Qtb2J88TYt4JUSN
TmiOpwM32DpjPk+nE/Xvci4pVVCNR0UmA2xMEBdcRrMb2cPxZcaAKrryC2IqQCdHQzx/jcnrGKyN
DZ7YZDZZPEyFdaPp3oAKgSBJFLLjLanWCyrERV1GKdQJKFTWRSeXx2YRSbDU9jHxKnApS0dTxSsZ
+hFkcdU4tfwCT2vepma5fDGU0V2MhaPtEmN4baPZDEZpDhfuMAif/px1IIiBoRSOumtvzM3zEcbY
MaJUCcywF/6sOc+WC3G7Kfr089hFM5aK1hK878NDAWEGLIaug+hXsDcHOL4hCBNeleTrTB1JIAhM
7jwN1gXRU2eLoNAmlu/FMenmAFwj24gBWw4yDnCoYl6XeIc5gg4XpMb7gHxuuy+6NXYvTiZxHY6l
oo5X1omgf33apt6tPvTAWxBULdoax53BUg5d/G2LNZ9bSQtPIy+WhxyR8YWKi69sQJFwVKRkQrrp
FnlGugrZhmX8tSkK3vpaU7w4A+YctL1dh9AS02JrIOigfLED0xTTEefGsqUGOooklVciBSiyMeix
HGiEEl0zLzxpfTne28RXnDW1KM+XfABGDAUnv8rKxkFW7Yr4S9ko7KRhmpAjjHUZxYLXIpVlawiN
Zcw998WNdBaOIZLGMekj96FrnfppEUX5ZQFqjngtFCsHsHRWPao+lnclRX8gjcUFdknULl3+CV3t
cprMpELUI5ssIqayyySCIm50SHrtxqE7KQmog6STjuCoOPhVE1GUpJULqLxMvO6ONmyLcpReXYmr
aQUednCkoZdj82bwB1KtbdTwFquiOHFEh1K0GWuMj+VrNqGCVXOImlCo86ztSXeNWvdoF/pwHcVd
fSS0ZfFRXFPdphZDsaiivxUKYFuei4Y5Tj6x8QuZqMbVjlQw9zS3V9rv/7o+/1HXh2SRX4rHdgzF
kpfvxWN//My/uz58hC6pIRCCo/X691TMddZ4BQzIDLkYbok1CO+vro/xLzZynuUJPmyFSPxbPYZ1
T5rIDOC+4v4yaeD8ozbQxyaQvbIq2K9Lmt/gUviy3zaBIpSHAFigmJlmTzQHIUto7S0z9s6tXnhq
Q2lQUqWCyva9eHD/mLX+retubTF9M1xAR43VDvmaqbuOxKX4YSTXNLz4B2ir+7E3h8CZCzswsOeS
4pUUJ980435iLPvpoTxXMnywWI7tD4dqRQrSBxzdnkZzAlgSwgRQUIpW12j+i2/FqfTeO3k2dobv
z+liTBlwfYvUnGlKcGssjd92XbbtJqc//fW3+tDDez+Bgu9k6YKb4odsU6yJtNwkJ9AjDHwzzCYS
7t5+m+i5RWWYbhnnk05LBMUWt1n1hzf3b68e9+APV0/INe2Tuxg/xofvSeMgDEUNi0GrLBvK5hQH
pQHF7tdf8ccLJ03uS4a3FkgV5mHfn00VuSgnmrDft4RQkkNulvBJ5dSgPkrrAsblrw/3QUzJGZUm
/VeUngbyKHvFxHz7QMhmQJ5hdP0+mtE2QgZ4dYT55kZsB428OLPpbfyxtv6D0yhNEwM9kSkYcX+Y
sIUxMUy0NPo1X0wyN/OA6epeFfz6e62n6ftHjaNgiAK7Q6dZivU0fzP9tvoQlSe6wr2g9bQRmnYe
YRWbDdPcTnohf/OdfnYWvz3ah4uG1TZqIpn3e3egdCIVeBMNYN3q9J266gF4y7Ivv/6CJgvpD9+Q
Gb8tBQNTbsgPS9kcZ7Y7jjx2RmxbV1ZlIW3SV8J4tbgnEF4YBzZHZ5jdbUO6yQswPPdQS3FCUEO1
p0gagn4yCRAZnfrrNAntdLZhWJhh19xCEWGjAnPbyJrlNwuT8eNjJIXOUMBg0vuep/P9lXFVZJOk
xWOUjOguaU2P2dp2kzQcNMEQEMUm3fFqhGaQ1dAuJusZJNt03RtufelgowZbFnlXGBn+DMb92ztT
/vRXY31en3DJ/z48DKmXYzOTeUelGlPtxtLH87tmUNhdoJpIfZoSAXhntL3cryBSH6YSDiN+Lcqe
YmKYN+glgny1NiNJ8xCYh/ywBABXkhB+FvVme2nai3a6ZDTeyBkj+9ORFIJd6933OIeQCrsInTAh
bVsQXTs2SSBqResGfTUduqxF+ajlwDVCCfknl2exlX1Cwa8uMwu26iyWbNcySAYA211B+11OmsSh
b4/kdjOFeXiux7P+oLUNrcSSCNZQzm/ZLI6dC1/XQ3d80tlxd8Unl7tf360/PiCulBQGPPUEKTnO
h5t1UpHs5bhedBVfgq2I8Rrrp0Yy3fVLWAd9Xxj/+JHkiNhSSAGTzrrefH+bee00uN6Sdfs2DE8N
hTTaiL56pXXeCnpv2Ecef/0Nf1y3XYbDDKqw6nmUPh+EA+Q2DyXXpqM5ldcbc7DG0wjyZuCa7ez/
+lA/3qYu0zDb1DHcslH+GPMb9Uw4Rhzte6SG8qzSGgO6GPTW/+Io1rvAXkD4+njJCsRDRTdyAjW7
1dtN43jaCSY39/rXhzF+XMf4Ni6aC6pFIJ7yw4XKMMwZeOHweU5G5eOfhMc+FTRKFbkmVqgcSgpu
fN0RmGHdB/xI+wqG4O+WpQ/CD16EECMQcknXkCvV+8P1axrYOsngqL0FVAzds5fvcAR2O/aaibsV
1mKdElDnQXetXvNqdI6kT0DFJMTnolgWccB5Gv7mCpg//Z3wqCNFgT0oP1YcEY0bLYyF2pdRX57q
LXxcHdHyQrbtZUhY6jZ2+vopxxIHZkubr3pSFLZ2opu+58K2d8r8NTem4TJzJ7Ct43OPzxeWelff
ziXw6xpt/4mM4vFQzvklAbS/Ky5+/gU8ZFmCkp7nf73237yFQ6P1itkdOanxfIzYrSLUtKJPMavY
tm6c1A8VaOzCsTveWG1xwGD52U2cO9Xa3mlPOsl2ctshwIfn3VSLgz7cWl4XGZYHQe9mh29thjWX
aiv5Jt9hUK1/Ux4Z62X/vo7gtvjmG3y4O8cu5xeuZlQ5WhodwsUrD52cYApput8lLYt8j04nTfVT
pjTDVtWwkn/9gLzz8378FUg9kzyMhvPxcXdn1hKc82pPpwodNJNE+YWyalWgInXz9JcqH6YHxzTi
rzAcun6ItiQyoWxZxdBDpHamrpjz2Fj4RryrzA/MnigkDrhHEZRurTQyXumrGSyVzi37/0DqKc5t
zXuo3bQ9MQbJIFsa+Ql91M/OoN/aMweKLOTENQZt+Ztz/mPp5trsBpF1gSbU2S19f9NIkzltmLIg
NGn+UIZ7Z0hzX1ugxFeLFL+pE3+ybNvUwOw8LYcP1j/sk8gRsMuWRWcPQu+NuIWQtzZCIQvv8W+O
tH7Sh8vIkVZ8iWUhKvhY2Ddh1MMJltxJbXSXGSJ6AL+2ChdndhNyzrAB6rbmHkLbiH9zC/3k7WuT
Wgh5BvCMTuH9/Rklk4C8vVRHrunMT9A3riengcAWvuVO94Utr/2bF9R77fnDd5VIWQ2TDTfKvO8P
6A2ampKEW5ZteHnsBXUPKYT+XNKaFsPyiuv0rkpyRgJzTXED2Wo7qKglBX35zVf/6c2EFJc3y7uh
7cOynvRIAuKB53d0q87Xa0iKFmYoMmOqiBi39O3XD+tPXs22TuXoegZ7bzb5339x20uzCJkrF3lu
pz2yqBCRuhv/Zo/40/Nr0MngTuL0vpvtvl1XU2VEpFzUas8eGTDaMJHCUabe1g7Jax8hQDCvgTpO
iBWysjAqtnQDsEEM2tkCU/E3z+uPm3LQLuwK2ZTDSsKU9/13HplaMwEkO0MMnR7AG8Hm2S4X88CA
NioMbQtlGD47RMBNlfX6bx6rj4iU9cXNumhzsqnbwT99OHwXDQjoSp3UL8OKv9QOUrPN2EbdlQJh
D63DrpixVz0fsNFmD3XAYDe59NEw03svGifOtqM2j2QDiSjcmF3XGwRdSPXy6zvjJwsNIFbbZo1x
qHOMD3dGDMxxlqXd7O0pbHe9hS3aAtBISptMfnNKfnIojMUWkHJE5C5n5/sLAvRdMSF2mn1HHM2b
hePvBppn0W40W/8vvhY1qETJvrbUfljV6rJeSEywmj0qkvbGk4a9q2YnPEvb7vOvT+BPFjGORFuE
EhESzsdOhbmQf1z1HClBH8tkoKxvi6gxA95u4FuYlpASHc+/WT5+eirZX1tAdg0L1f73pzKK9BKW
jWTkBlNnW0jGFQmZZ36rm+o3h8I2wId9WDWpNDDKOoj2BSvW9wdzM+Jao8XgFrFavdnZM8nUW4K/
xsVnIrnSEFtl+jY1eb5tUF9pO3aO/RSQ6SWKm8KVPFyJoMeIwWrO782aXG2/JVC19zGZ2+Q7h038
mehu7SITLqmmUZxjLVXlmole8pXEFhQ+4BNvwMRCfoMu5jMMON4+ATuwBFCOYkyNWWzcYfdkWpBb
GId2qVFMdiC8OjYfvdFIilc7pVkSbWp2MPEZw3LSPdska2NCZCtjPs1Lumt7OBqFFWh6bRxIcJq0
vcJ7qS5lUfYu0Qn9HN7YCv7Fjn/WRiAFrcqmTW95GekQQByiC9cp1xxuKZhx9pJZ5KAh+z20pVad
GC0xOcRstGZL2EFyX5AYsAbTgEI6JfQ6qrduXyGsmslfiIKiBidzng5sJ5Ot7dVo45QaVzvdQJQY
o23QLGcFYVs6fYeiNv2aFKz30YxrfnYgAGA2CLuJOY5VtbdEPGrOHohCOl+PoUNyRGIRFDRrjecc
9apw4QrOQ9SfUsROu8adYOFaBI2j00P2gG1Zpd6+bFfFTh6u7T9dM4k5a5R0P6Ux4VNTXuBbUlY8
IMita0R5bn9Dn3fXr/q3cFXC5RrD1a7E5h/i8TzR1uGZaLyrHgkdg6bdtGrqQsR1gwXWEvxbsofM
jltr1eBF/XAQqyrPrNXndNXpyR7FXr9q96CTvFhCG4FsoidQq8LPXrV+oJTtvbXq/6iYF3J80QSq
VR3odAj6rB4tS4l0cGnQEA6rmhCBF7qw/B5qX2CvesPVQhsYqwYRE8jCAIuJuLsqFGEMEcLpgH5S
KNWmVccoETQmq7IRJEh4GnoWNM006ykqUD3nvCXAxKKKzJBHNqtOkngKyR/ZVUZ3Cd9de8imyfQX
PSNQp8P0lcbhAIgPwu0IbRWRs3sdutYR7scUGKMbk2jcLlviC3o/fFdyrprOcFV3lqvOs1wVn3NH
PtqESPPNXvWgSBpr3101osjOGU6uulEHOcap0PFNqlVVSpPigEx6h5vP2GVyfixWBWqZhCeOtG6T
fn6E8lIGo47KkfTAx+J91hWhhDgdeoxjwzoKAzZ0h48nPKh1TIYwyQ30dXSWr0M0ax2nxetgjdnn
cN2swzbVT2sioTrv1kEcbj9Yeczm1DqkIzUzIbmYwV1Z4GO2FMO8+Y/BXvbHmK//c+pHpbkOAat1
IJi9zwZNbp6HAovG5Dvvc0RzHSmm63ARxX922awDx3QdPbqZcar30QzSh7GkvQ4o+T9VMPFABKE0
5azO3XmMRvU0x62jSCbDXThm/gI17EkzxE4n6Y3wAxAo9d7RzOrr5CxZfSIyYpn8AjA1CIDKQIOp
aXaXbjLHJWAnnwepHWjP6gh/qoa5ZMuZ2nRZmfsLdve7mK7+tZmn5l1YlFlyOqY2YljQUZfGaLoo
MIi63uDMnA5xovQvth5ST3peVwfOoudnNS/Zr51yI5t8rAik3UhcIK4NZd9aQxa+eTT3UeWVNgLc
GoOTv8zu9Ik5U/HW1i143blQxjMsn9ZniyavmOHXTzgkR4Lv1LzvqFju3NlKnwbF58wamtqqM5sD
mtgcjnVJTrEl1ANduNV+AbMal0LPnRALr3kkwKr52tSAnLNJax4RkyYnKf4qApOQ0+yQZKoHrFKY
Xp1qRMAayv9j70yWI0fObP0uvb4ocwCOyay7F4h5IIMMztzAyGQmZsAxD0/fH7JKulWp21emvRay
klTJjGAE4HA//znfydt1NzfcHJmhWdBUZEo+1LZwoxjmAaZOSv55NDacSr16m3Juyve5Aq7nt3HY
Q5geFooTxiJqbWntjSnYlZRU54wGQWJH2XINasMx9JLogbRaRs9f3cEh4+PUnmH/8Cs6C6TyFNKy
u0/stH/ujbEbbkJgD5fYrfBYCzXflBhDzpJg8cKGiXdSxPZD39Jd5LMTqY42oOMLWXr1jnSH2QHH
yZIwr+xNARx6O1Nvth1KSuJ2juOEFwq7e4ewbGRduIkqbiq+XUT46piSi7s4UaQ+6z6s7+Vc649N
zOcdJ+m0m+Hf7NyIDxU3xHTSuDTvlVWrT2s5Ya4Ke6b3Ia2SeMcnG+8tavBY9mA86rWsjkrHZTv3
jfpsJ1W/9hGf6+w41bdSD3FUzl3Exwq3JjiGqBG7zmuxHINXvsi50ga/L73wMpLBw8Rg5/n0BQZL
kkBRxmDKxUauB9NZ57EMmt9LwpUWuVVFeiJKClaojlIvotr6o9In6xJbZfCk7Ci8ta2ufLdpHVy3
3UKRMMDr6Ytrp/myOtPYhK1bHadaBOsQ5tipzvnl8ReOT66WsC7Smkz1CD9NCXh46UiqwJB3LXbg
Bemwi4TccajTBWLVeog4GMIH4P15yx8Ieg+fZjhk2HNmVXb+zH2OjFU0L9OEaO06ffPlhNJaBcGU
HXT6c7jKu0hhI4KN9RDnUf8syxbv2FDyJjNLpFe3rdWHmUT2g+ZhjPVVMUSXyc4L3W+IRL5m1Tze
uXbTPQs1ptd4+bqhbrhnK9GDayV7XijVpq0H7QRgllZGF9nwqVHANN3RHT39EPjId9oIdIqElRtc
oWRh/RZRcaYbjb+xnNMrW/bxyRNMZICBEweaiVFGeC2pmnEUMh8G9SgoffSWpvYLcvPFChMjPhBJ
QS22Ys0OrjLiyOVD/66mA54xGOVRx5VERqFm6bUlVxprVnTJ0qTUaWqcyzvNTBBx+ylbCtwaN+oP
tlm6xcpr2h8lQTR8fiJPVlU+VD9o/9GfZQjFpx8a/bvdJyAcufWqe1aL+UdpJKpe2UaBv6lOrO47
FCFK2KH5c+0rxcdCWXLd7MjO6yA92PI+zkamXb1WsJo5dv+dJH113wYFwn9lKJDXk3obk6C613Hv
XQK7inethw87blzofFTKQCFyub8LLWxfKnJa4r7W3IY1vqSO9FBOJR8ecYUbzsTBVnVBzSJGaQa6
aWt2DIRN931u3PY2yFW467Os30s756vhsXk2wbh3vuWE8Z0tG7UFWdo81aoHDDZHP4Be8H81dDet
g16ZnzBErK1UYM4UJQZr/D+Exvoluc3n5TPRlOu0rbkPfxq69RynOJuQwS9kEjwbWShXmVY+EFm9
6R2WREBIMWcZqkMHKIy3FfqP6CKiELmqednUxqEMxiwCALXDosZ4XcTazWhr6lJQw/xgB0Z58Ebc
QCy6oNT1gmFjpVviYMXtsZ+mbB1zb96IcKjPRegUR+rCaYgxTLaAHuM/JNQPz4KQlzoFnvmyN7/6
TB6rWOgsaQB9Z7OBgGLrCly5PJEDkC/stwXY1LH89IZlzlS22whl+VDRqMu0LGJD2ifl9AKCJbyK
Ihq2zqj2dkmBpTdoEDXiqty7w/yB/pe/pTmhOp45fEgGFWYs9JxwVs400V2ZpGlzoBeC2vpAgzac
S7VtgGycIr1Ta3aow510U4HhOGkeukqzWeq88No1vEhnBc5dB9XLR5ieKCAO5AekPvsZVmO2j2Pn
eSQEvUMujdgHspXz8yXAVsZDdBO7CDe0XiyIIf0zEsGw7V1N7FpDn9dujA1u6LkZGxW1Ps5QbxNO
k31icyFfEmntChA4W24nFuASA7Uf2njdvczzfvRpZ7yMSuq3Xu7NuBZy+aiiMVmN7GG3FmvXCdxG
9qxbjnM/4ZHaWn0zVluHfaFf01m1IYqhvs+MmgC0h218C1IkeIiLDHCRNhaKZU1NlLDlSbMaVVLD
lgSMOePx7xwapg0qiD6SaUyP4VDsWxjsWBKhI5RTMt7PAkoBHMktt+IW3lfCRs2CfkxI5zaXVvAE
SY1thsTmyxKYkAdt46sravxauememokAZSCiTWRhGU/N2roAnC/LVTR4OkOLjObNqexvbEvjsZO7
WsoNZxdYvccEfqS5FJ0lQD6xidIy4Gdawm3EDK2/8aD+vOaGJFakI8AjrZU8sWaFpNHF2njn0bpy
nhCzOdU5PXR7KBTp0RticcXfd6wTKvOCvgVj1KQ3xMvJhRSgSBuJz39iwOMXQ9OSTE9oDoGtr4+a
9+oxM+Wc81GXxULatOZVRXHLggGOXL/vW/0VtmF9KA3nU5/t70FdVu/sWLP3rIFemzSN9kThjUZ2
AKN163T5/WSzY8mmmgZmApAzxWtkiNgOjXtwin181MxykOveEQ0V3alOTLeQdnnRqBoBbDk55QX5
BqKKQctxyRiA5geuUSt5z/OkuDcqN7+3Y3RkP55YQJMIk2TWGPRoN0n0VQViVitD4y+scAHA1yeD
MUlStK81Ox6+t5hDDly4jKeEZpuHTLk8UbxRvfG0RDubMx2kXoggeSiD2Hhkf8zJNF0CLWE6Nl/U
zLdfTdcgIjRTl/9IZYGq0Mxt8C4oJv5MfwLpSgnCsanG4N1Iaw7hMojJWag5aL40i6ZO6i97j2hr
ahUPNMewMDQRKZWtE7Z9uZUYUqM1FAEuj8jo2OCUBRDXCH4SvNmwDN7BmfAznhpp/3TIk1lrWQgu
o8KkQnbdN7xLwITYpdYFLi3Hl3TK0Ngcy6I5xbPVcm4URa/jzgZuE27ZvPI3z5o7lgeJEdZdR9Kb
tJ02LVsAGijZvHCY8s5JJGSxtuucTWsW2HxLGm2bOK7HjjbRuseeHHYxZFloovkPo+t41a4yQZMP
0vTef/8wLfrb6BFkPBmvKIHFmebo9G9QcWOXO9OjS8OsgCGv0IL46IHlFg8W/rFil8UJcg/OgpgD
Zjqme6WjApHwAPmyxSCMqxWk0oM14KjgK2TeuiCl+P1Sx0IPqakPTU4NLoZ+l08YP+h+a/sfvY02
6ncGyOgbW9Ojx3TqjV1BEcJLrnvOfUqII1gpynEfoRU2035Ehg8usuOX3hu94D2yK+ddx0XAl2dP
Y6Ex/yvhifGdcO+i/UfTGl2GT7HXWv78XBClizm9xD5v1jtPTd98p34lobW9w1PKxpfEMKzP2BhX
meD+oQDbIglfoP8dsYVreLHLlh2dFZG9AdtWI6KAZYMJ5FdEsrjVJQduHsI8v0hjCIJLhdthqzJm
gPKXqDfJBC5byMwpjNbP8AY+6YkwNlVWiiMz6Xo/5J15n4fuSAYwjZ/nORqeBjqUfpfV/42Y+CeI
CYRrHWX0f08eH74+or9gWf74iT8cqLqOmRSPJy5PMBM219zfc8cw1X4zTFO3MIYhxCP2/uE/lfBa
hCBMCFCQLRq9aH8HTEgdKgvCL1sii+4c6BP/kv/0V3ohZhQcrrwtRvrY30Dc/lXkTfWg6iwnsG+5
QrVDGBRjdSrY7XCOhuXLNnTh2aYm3iLh0do1x8ryPvELfo+Yfj5QS2laK700H8Hdjy+po8Un5iIj
V6rh8uikaorqHm9uPKrtyR3RcJQZIRSCcBiqJ1FUgeaDS87M/JR6cbMjRZYktw4GWGJ7VeZuOYwU
hzyYkIKTrlrl01L5lWfQrBh4bdFsDWOTeN19CrwAZp4YgnNGZOncdNCmJ7uvjoZXD1+kVt9l3pIu
8hoBfbh0doIy9vc6T8WKfI3N8aP5MOtE5/dlFQDNYNTRaZ6icS9UKbd8UdptkWgBBxqn30bC1etg
VcOi6OnfVZ2e95QwZ6hTRjwkFy2KjBcaIBYbr1rjK6JDNo7EdcJEcm27qqClXrxkVuw9jRZVjmMB
zEEZ3ss4uvamFxQkmn1+LxOt2suuNm7rPK8PHYFYetYg2+R9ORxAuMU3npZ9eG1FzI/Zx8bifHui
bcrbZaXWfzapExymwDK3dKVlQHHjejMnrv59cV9WKxfu2d4z4u8dVrAN+5Px1dLdoQCdkEBBBBHO
ASxz3w2jYwjvUFBLA+9LHucvlcZLF5Vi0hENPTNczdoQPio3OGEoIFCAs3xnKIi2ZeTydN+MvfzB
mUdGy+zI1GG5Ip+qvrG37Gx5LpOCTvf4AKrYjxwH627ZO+tC63syZZxmJgYG40ATVqqHV5nq6d00
NfMlGCL63mY8r5FpgPuOxWjxKmZJTNuRO5lkCOHg9eOHwW6ys4Wsfo4I8Nxgz8LVQ3XQ3VBX9bZo
mvFb68oMDKIw21WXauqHh+xN9+Qg9V3uJMOZmFC8H60CmRIgBh3r9hB+RRwkV9kieWNaLWDzMVM/
6SReSz9uHQH6eRK+DXwR9FdhiGJVUbbnhy6HesASeGd45hpoVWlFXkE48doIo34L2Rh9S8u1xC+p
Vzv1eU6ktFWS4ziponrrDVBvK96UU9nq2MxT8xTWFEL4PV0dP0ry4xvXzby9Q6j9XFvalz1bWEOi
KKGTIAg5ltQa9RIUF+YrE5Vq6yTCe8GZCkWxdk4qQPSGOB8RkrXEZ2/r2dYgP/otrYL5OI95H63s
PrJ3C0fDJ8o5vFI5YdL/FDjMzN2AnlcUINq1h+lUDppsVy6sgyOlyoNaQ4GONhMDmztE5XIzA6Gk
qxUPSzua6NBsxK4ZB9edmw3dM7pXibJeMElLglQjqBkCJFMcoKzcgyLnevxKtExgajToycC7MyBP
1f200ec+wTgZTJt4cOenfqxGWmQqfRtZdBNH3sRX0srgJnKL+s6mlEkP3PoxTjX76pndvi7M+TJ0
glT06ByZN4CMSTJjPMRBTsCMMe4dgzcNMV5vRt9V7vSQNpm6oTfMeDQMQNIcWStYkgRIO0CWB3eK
o+BQCM8B+VLBbyG2Zo5K3JB9IsZZDvehrOrzlKhkxeIpbjlYFisC3REsx9hkUaA+LzQHcZgr/Qve
g32rZFUcGAQah7zpbB/uHz1thTLS5Uve1ThG10GsHjVHTcyeDLN9IOg3fc+FUqtZc6b9lBDqcqYq
B4esk2TG4Bmt9NhKdyipah0HLOTCmNtTHHXjU5EJua2Wcnbb7e0b2JUacAEWIg/P1jpAvHgzSxHt
J+ZVK40eAoAL7aSR2bXsNx6CM2qcp33Xk0rzxyEyARfK7kcSaCVc9Li8NpWtI2NQi1lW4iOc8xBm
HWW5BlxtnMyNRssfE8M3Yw7bM6A/MJpld4yoNl+Zda1OyBnt3Vws/cejO98JPfYuTVQDPWy7YN7I
0AY+KUkzopK4a1o8+nXnRPJ7uKSLB2f81i34pJQ1M/ODdAAryNHwHGlkcanlHl4Ug7GV1NV8xens
rVuztN8wU3Bv0NbI2MNFkIvT8YYaR40FK0TNsGL5nmY9B1enim/1oCh2syj1jwGkKVn/+YkIW7Ay
hsnYW71Nx6DQAuTCWKfHnGTIIfey6yz0wzLG973a1O1NKia+4MKwvLUT9/eDSsMXUEp4KrocqCqF
dXdJ1kyFr1GQ9iw46x89s3KOoRsplxU08Pasm4gFrTg31E1c57m7o1cMnSZjZoCym64srr3HZDLy
ZTjhc0vEu8LTkQ3nMDp4rnZNIRgwt6pLl6RvEK4YF7r7eLS7behSs8A4IF8JNzizwU93JRrmYYnn
E0tGXhoUUhc3VLTtcvTJsO0S3yCkyLQlyM+hVbN8D8HwQS+y2mlACU8I0c433cmyz7pRlOM19X1j
5tYD480nMUGDTL2gInxnOoe61ead2zndprKc/gmaendE1flI5qQ9RAlekCoFXdQThtx3c8a4BEZ4
c4zJEm5kHMorLUTl3bwMExjAWD1WunukNOMN4XM4c7DvaWnXg/5Fj2Ntn829dc5VnByN2NrSnkXB
uoEuZMvnkdZsXzAv3MSFGfhO2GePnhuqXYdKfUGq0FdjoxgcVcF3F1AF1YJRtCNjzRGC9Ou+wdB9
jqQcToo+qNfeA3rqNH25VjO6Fai/+Qcj5scop6vRSBPnIQ14C62ewgtBXfftxLzpWVU3KtLfgwY9
Oi/h/iaqPGf4S9DsxvMU6PIpq+AUV+jzG7hf/Q6HOU2WYxq819004j6N63eScsQovQ4YKizrgzMk
3Tazm/dBZ13xRK5vAe1hNCe5SPXsh9ZZkDPAhvkOvdpHDzytk4bZaWxPTolVGWNE3t/KDMcTrj/0
GOFkT4lmFw9sqtJTUbk86i2dWWA8pLTnlWWr77CDq1v0ym1um2rnjqK+YZbA6H20tF2UyHwrIiM8
Owx6NzXdmtBakxgVmZHZHaHq8RDJjOi/28F4TxILAszw3uistUx5LBrMB32+qMFJVqlV68dyrout
5Q7jR+dSoerTUMImJW1sy09h7xf0s1cwrst5/FakkXq38VoKtrkfeegFa97Ij7zLq21CVpbOo0Kr
6Q8S7ipPUm0fQki1QV+leeLrMi1u1GjABEmlzTAor6IVquMXGqyBVjAPPNJsjomWJ5BD0+TCvnfV
xiLbDhywtyJQPEGHgK4C1gGy9uw2AT6LfWBqgrGEa/ntlPUUoeDwB1wYbvBD1D5bD2p1svTeYkpp
+o2YiB8HDUfNwuCUylf9jgcx3BtjEGycoqNrAhRGCtala1ZwM5p1NWRwECoqb1+rSNTgHDtnmWiL
e0fxQPKhYSQMKVv926icDEobFceiNzIIJKmxDYoZ08WDOwZdQiShd6PyG4C6nsk+7aVe/uiMUZrK
Y2C5cXpqR9crH4ep51ND1Bk1WIpewU7ZT2pmtTDJM93pVwVH7zXD0ZT6AUq21lobJBSeQh36rhi6
fQ0e75A9gvXKz5TvNJ0F28noYXhPwQiwq8eVzCgiPna9W91Uij9dNnb5ZnLnmelUb3lFnCoeIVpG
xcYuJisBo12NxVcdCLpk49E9UKs2cwc3ZXfrdPbjzHjOr2rL/pKZagKKMmZ1Ii0xbKBR1Nc6hy6X
2PDytFzl92IAAMccZAIEEA3dXmatu6wG05pdn7Eu4d/5xtDkjKLidG/Xmdyg6RknUTSoiqJmC4C2
vAFKMq4te8pN39F4PZGqkqhIL18a5KMR14ICktDoGvxZkVHZwSd3HXDgrOKsnSjmDS5hQpzFF5k3
Powo2Os+oXhy1XazuJlUaKyStmnWtZmNtAECUOzQkZR7cXkKA2KCr4HgyJTHbxQgzTFPksfQzegQ
ZOvJmanpb6diDh9ogW227vJhQ+xLdprXcvqyjJxERtAPNWLa2G/sTtHNkDTVQxDkoqUohz/aAXc5
pE1dXNvQq/2w0qvnOqr1V51JzmtRhs9B7oizNFDNEHGEtjcNxTCu8Egld704OV6uHphqNsU6CFTh
3CDiyfsiqj6cuUYtVvMYYsqMBA1HuB3iVTyHknkKWtolzabsJRGgVNxkCHau4dF4NXW6seMo1D4R
Iqb2FU/ASqFuI2OFiobvsNgmNQFmgNjFDFGiteBKVMyF2goz7Jpsz/A5s+tjx69ZNIeX43RXOUs5
ReFl8bUOmaMI8IRgQZLO2DSupm8MB2sVNKf4EM1zcsZXGh9y03Nu0Xk5wI42F5PQPjO3nJ8iKHwg
g2kRB+kxsWgIK51eUpYK6pj7QazmxJkvGljndYbRnclCn13h/wOCnLmu6hnTil4JLOdGCg6CnS98
Qq/cF0mgMxbB/8n5c9nI6lZ9tkw210zFFrVzhpk1VQN1ZA1Oteq1bAc3v+hp0piYEmwOY5XOU4CR
MV0cqy6yQS4wArDnL20qxHCnexBKbGDr/IW9Nr20xajGx3nQgA8Bf+XA2zJVaUzHILXjGI7yPbMe
hxMfSe1ikQgrUIFmo5ewQv5PLvsmkiBtbulS2wWaUz1mWT4+/0n+ufvdIffnEkX9F2u1cJduTxo/
wROQMbB+dd2qahySzNSHWzJ+1lrzaGDW6YCApERlGzin8N3IzV2fGEcztbaarLdWpG9cJ7hR3bxp
ynbDr7qD2M+APt79/9/cLw7C39+bTaQT0zd5nV8zZbneV4UIjOFWqfrWUewVg33c3/7rL4JhHvut
gGDq/PoBgEgcOfT2A2W/JOj4j61lW1D5258v829J8p9KklTA/ukb+cdOFVqQC7xlf8be6pyB+aG/
5eKd37A+GMSrLQhpqI/8qz9oiJ7+Gxk1211iPsRif0bm/6ZLUkFLygs7BKxc/r5FTeRR1kb/9R8m
tGiCdNh7PRu7Obzcf0WXJJH6V/MpYVxi99ARScsuTmpvsd/+KaoT2zHyDWDy41hBeGMuTKWqBWjp
pCoHqYdyVYmLL/EeVFphnlhsy2hjvWth4m84QO5rPSev45aZfZxnRwabrC/nwW+FGO+hRuVypycQ
me9TL6lfKkZb1oqBepispiDD+tgbDbVQQ+5WfhZwWqFpQMwAAnFunymgcHi4DfV8mPW5lTTTl96G
04RZb/oliL0yhxL/WxMoKCKuVn16FMJ/+wkLa12PoekswEJTqdQ2q8m1DGutIzQZZ89oo3Xj5fbN
IJkG5X0H9NTQtk5DPsNnIydMHux6/KCSZLofI9He1qGRXxfyXbFxxlJjRu2OoeUXlgg57SXqmlkK
TlxImRZP5GkfkhY9GgvWnWV3B8gG0ntUxiV9fvDh6LJZSPA/qfCjxdhVLqj4bIHGx2adPegG1lov
ku8hHokLRG5vDXLDvOsW8HwPoHsd6cZdtEDpsZU5G20CwDIqLbszHS27NYvhagn2tNZPsr0anegb
lgG1kwv4HgUrPel5jkfAHqtrX7OoU+IRhzdsO+XtEBVQg9mDdGcxbCqjLG8DVec/EvD0tENK6JgW
0TiEsOYKt+GbFUBO0QMm51QfAs1d8P3MTV886JN+vaD96fg89gvs31mw/0lNAYC5VAGYilKAeKkH
UGn0mSyFAVZpD2seGiekqWltLbUC9lIwALhYu+/LMX/IlvqBIqU711gqCRYUP+Vi6X2dJe2tNlIp
Q8df8wRxJPBlY4y301JwoHAsb3SLd0pZQrgWfRA+zqDIcz9zKwacSVFy0qbCDnaXUvrJjCpxnET3
RVXLcAk7md07fcEUEt+pd3WWGgaX2Q8S2NLNsNh3byV1K6tE8URJ8UjA/FzqHAyuaGepeDBSKU9T
ZviqNqkX5LK/KWEmvKEDEgTQ2jY6ygQ0L0Y9KjrMpUiiStNhx8adOs6qO9Gy1BxFZN/0fbM0UCxl
FHR6AJZORvZdP7sqGq5BnKh4+boAoKU9t88aTwRYWVdiCGIbOCfZM40EZwWRq0vuIkoxtBbfwdKS
4WXyyt4j2xQUaDTKoUmDSo3pZ7eG0bznTp1tmcBRvJHHxsmSqE/g507Z9KUtHR3l0tZBWcmL7Dyg
dJMX7NXS6TGA0t8ES89HIuQbi2FzMZYOEG1pA8nS0KISrJHP8mdXSOI0CJfk6zRAUTaFIs7SLMLg
+Q3fTLXpnLzeZXgY2fgeZ+pI2qWXpGoJO8NrLAKOEIBlfax4OcnshCa1QcXb9I+Gk+YKhDu7V0v/
CeEy3KWcyg7Eesf7fOlJKVoaU7D80LGWjvaNpE5lqulVqScZpGsEyOF+kO1zR8/1Xqsm6xbROqLC
kfOLHAQcPE3S2FLpnIvvpp9VLkw96ctwP8uqtDa2PXuPCbvCLXSHFE9cHNxNphtfYC59FFKh1lQw
7eZY/7BVb4FlqEX73tT8ygvVf12rzDiFWcER3LC4pEVIQ1MuM/Z3UXY3sewCzF4w+CW85JVTTO9z
55F7CVif+45rMJ7G6d2bRlwyeSyqh6oG3ifoGwwB8V9KZvr4wj32pXehFcAPVJyJmJZINnuZ1Qum
+kl5UGmPTy0uWrLwqvCubeL8UCX6bWgwdR4iN0NUcCmfJHbCsUrZRV4GKxkTj+Lg3FmI/Sq2ta0+
41N1jTbfThHGABZ35Myxe46yqdHlfuqL9pgXIup4tmjVt1TDWkQxYkLYYYw4lF/S2sUhmJSju087
BJDzKGv7fuSB/WDWAbdIOnDpoVT11mujx/UxmvOp8SEJWJ8tV3+80sk1o8NqgSPxTyrnWmGf55AA
5+lYAnM5VlMA8dtLipBWg/YwkbK4RFmXPeB0NB2/7vH70/BLmYE3D9EbgZhm0xsy3+txGH247Pqp
0XEhKsHkbeU5NGs6gR2pkMPmAWZDrzjpDmbf9z7WeBhVLO0/ilSyNSfRN9y0fdPcTaNRUSXDHL32
Z0BrkMiwYY4+WcXuRWCB+ahqEb/xTAbDypD6Bnxafgl6y/shxqjDBp4F5lVjyv+i0T14mwvnQE6J
MVVu2l9W4Vl0K0dm1WGd6umiwtF/sMr+kLParhr2D9N6yuplvBjwKSLURe5z10/WGWkq+9ISkQAA
6wyCMbaKh/ugkvYzzxFvo5h7bDtGnBrij6MCsBJ6FB5q+gK/pZxqJItRCGcPrPuSTASClU+Rdhcn
dkOS3szrN0zj6a2ZqTDkKm6lszK8fIa/XKVfsq3SqxqwizTUqnJuLIIDA6sc7GPEzapKMOpzZeJU
aIbGnXyDDEG+mQxP3Chqk96sYRq+B25UvbsSZ1OhJRxwtdALISxUk3as9aS/I2eCimM2tfZNigmO
CA4lkqJ4EPedg2F372iDevfCsXBX0xx0B6W3JhjjOKmQTpw8eancWErfLc32mkimb5i1zArmocoO
3HN4GuhPU9NqkpzweefexnRq8RZ4bSA3lEil41rvNaqaMxlfA0+JHYMsZ1UwsgA24UrAeGaE4Gth
wkbaMpzzNLTVUY9am/oCKdZT3zUwFbngnEzNK2LVclMJsIqYgiHyR/itfWJj93rXtOuGSfgZxjt0
Lgdw2Hp0EnVoHEkpap4V9VtaJy1iYdg1+oqwY/maToYqNi3emAoDbjV/J7lj3gSC6ZNp2J8yjLwn
JyryjzJsyq0ZARldj4kT0OQM+l1bEbVhRWQwKw4x+bkbb5bOe2/VGeRERYzQCK0Zd7w5mZ/OwJy4
DXTz2WsjOLBubo4IYzWjz6I0yj2+DP5rSgeJu8dTNl3dNKj61WhE+kfv9bjmCku9czpv7y0PkuMq
GQ3x1s1sIOkuGzquJdF0Pvhk/curmCttgtwOtSMctOCVrEPxBNXSbrZmEY2nrukmzpWahoWwpgg2
Jz19SML0TlD0+VoVzm049eDAc3D5rrYZXMAXxdR697L1xG0He24dehSxIKMp44L3SvNdPXR2FTQ7
5Vt1Lz+heBhkVksVPhdychjL5QPisq6ZOsVXTSwwFobhbdMa82YgJHcwkqzfzdJq17Mys20nRHfW
mQDaXZ1/jxKjI1PW2Q4hLaRnvweTu07ttn4KcSV82rIMtn0pgMDxbc4LflJ2N5Exwvhnm0VsIrCQ
dOI6TCRJMJl8we5h3MLhE6CcFmUsLeZwUzI2esmCMXtEIIt2IrY0zgdBd66Z6aDCgq45pXXurULB
HjEfwqOLubmhebjq9m7sUSIDMiV9bVwHCzFzY6YAUWzBX1XKsDdMRedTqunqOGD/OPMbZmdDxvG3
YI5pbYzbliBC1W9DzywOVRaa9EbNL2pipL2CTVZ/hAxo7syqYjgm4vp3SNW/T8n/5JRMps/kVPm/
G3cuUfwX384fP/C3E7L4zdJRLxjYONg4cbn9/YRMI6lLZBbTKzUwnk7Y9P86d7DnOBbHCxMyAv9Y
QpV/OyG7vyG+CR1nOHikny0D//2ff4EBNb/877+ITL8IOcRpyXQbloU7iWfdP2Sug0GD01lY1qEf
BVwfI8HMH2UqOBLTJtU+Wc2LB/xxy1Fv3ur0Qx6RYNUb/pfxyWIn/SbtpHnhHNq8hCOGsj99kv8P
DewXCWx5d6QpPY6uCy3vH2hQuOXrQB88eSDEWH7gLRrvfgYPsCJjpqvibNrx1FgAFWUq/0ly1TT4
kP+cXJUugBhoXguvASIVpVh/FQ8CbBkKaF51oKTvNcdvD4AWuyPifV0uDyDLObONKhAGJ9s5jdKL
MdXV8fs4F/OXQ46hZ8w2mccwC5sN+L1s12Y1Hpi6Ku17J3J5Mo7MOw4BMPKzrjBQSKEkh64FLI3/
Ul8hNOaXyJiEwjTZ6ytBwGXyB90hINqx36MwJ6IfxYSAiaJrG29sdVP263hsSAaUJ6eR8wacf3eN
iqbYcrKmY0aD0A97v/KgbnoB3T1mLBd+Uq1t3NR57Ea06xUJHPy5jq2K21qOIXEojeFcXZr9fsIf
iq9kZuYwt9BtZ4d+LD8M7GilInwGuTFOr0Xi5pTQN55+xvMYYCKd2heK253FX5MNwhd6NLIvRPZf
OLsTW2v6ZjHvxwyumE5AjTCqqwdY+l40TLIJ3FVYrkpBD0XhCKrVI7A1Q2eSDyV4yRYo5la6joEb
YketKjvzZxm1jzpNoZuidYaOiTPPlHVhFO2VaIHL1tgcGKbA8v4f9s5jSY4jXbpPlLSMSL0tXV3V
utFAY5PWaICpVaTOp/9PJMl/QNw7M3f2swEJM7QoFcI/9+OUJIosZLAcdpnFDuXWwmDQv1iXclKc
VhmUECrg/MKBHA2bl5W7EKN2KckjwrNjQu988dLZxyTulg9ZqSi2jxqJkduBLkpMFtN5ZHKBMLmC
H1Q3Og9clo0jWn30vYkl3nMzOdAfM+z4pAbMf7ziaZFY5XEx9OkNbqt0R3eO9w5woD4tiEj7IK+7
0wxmnzyc7CJSmKmcXZo07AlPeFO2R79LxSXE5nsD0iJ8tdglsZzEI/cdz4l/cKkb7kUlJiZupVf8
kJ6dgUblWLlpnAQbEBMJnFTzAJ9k43rKTXeEfp7jiNvBXZ8lPZt5yjFifBaqwJvGHK+s8FxbYQOr
hYSnwNDSZd9LUqgA6juVHqVZjd/p5YaLNWScH0DolvVg3rZNoJJ3HHx5fQrKwZb3LRDom6VfsGyb
UB+/uFzrcM46snpfUCJ6RJF+wjMnGqP7KBkA5juFgQ1HUVfRR9n15KX3VejPt8Msynnbml4n9v2A
gfl5ZjaGa2Wtujco8w6ZEVFHvFN9HNVfsWNz583o5qEGFrgB1IkxM08Llym2gq68qnhM6l1jWtV7
W9H2INSc81afzOo8Z232JDwWzWiKefzgtcv7dOm9O0nANNiSeOanKf3Y5hiLhgoXgQhFzUm7iQe7
JajgcgRRCdSt/RRp1Fk1LaeEes03qlCqt3GQ8DwDZ0AJwQpv+fvW7Cdj05tT/81MVW/ecgByzLuA
CzogG1lX74puF2eHerYc1qU84JHH8HEYAHWpzzqakenVMOrlNW8xKVfbjD4tyBdTKMOclD5Mm/nd
6XtFA63/RxFtFq3ttDlGSrpqK0Hq6wtqSZ60G1JX5Xs/d7iBZrW0l0qBMm8Ykg+7AbS1cRj7LoFF
Y6j62Pgyv9f8lAn3VcIdi1oBdNUkkqD/Kj5YCWPze+XkDeoVfnFnBzdoOE+V19EoOnRxcS0M5QES
5jfgvVugMoD88fEFcPunRMFywn5Xtsr7agzlyDEzUVmwzaOlFFTZAO1HGZx9DmONN75VAg9R7GJK
2fmUOWxCpGsOiIQWM0ax31rRfbKm0T0PQZA6R9EF42Pv5hYYn8wO8RYRP+S64ScFFV5VgCpAgTcT
bTO7ja0hRDFgFnWN81G9yKyfdBVH73w4Q+nq2hkRH6ox21M/bSxgwB1Mn9i7L2E8xNeecSJX+wZr
0NT4tbP3J4WIZ+TdOZCSaABvINLS7DPwha1g3oFozismbYUnt67Ttv6mrySc7rlDNzmWozWz+g1u
qnas4xBjIsc+TCELfluQ/PzveOX/Qh2WwtGEm39+cLyly7vqVfLzeOXPL/rr8IiBG5c2DCfOIJKj
21+zFToFPZBL7t/c3uZvLi5xLN2cJ4mj6x/+15nRxQhOct3jH5g+ffX2fzJVYW7y94MR5kK4Wzbu
SZ/4oYXR8e8HI0XmttHi0g1+UG72eR65A7EIEtQzipg9vJlR4d0ZjlM9JTAoaK8NANj6hSm2UN/T
PaMY8zntsmXGZDNl9zE7VcZ0j1t/4ClOAYl105W9YHSR1M3O8Sff2lRkybR7ZvSQ1Jz4MuC/plqY
udSmkvm1xnH2gP7vH4lix8cQT8kRsRnTaFQY4Q4Mh3tcklidM1i/t5TCgxhYWhxsFmuV2hT01F0Y
fYxfM4pUQGR4+NGsuIcpacjuNJRV+FQ1GKk2iTFO5978lmUL3LAs92+RWUNroya/2/MPIvw37nSg
isa9H8MJLIaArInDOKxgQ86hfcqUND7GSjVkYzEXWmnpkz4q1I9okiH12kUtHqBA9MfOstQT1RTj
TZoxI97MWTojhKTyR2rS/ZA6VFfXeW2xtMyRewfWBadAvRgfpUsWfCPqSt4ZC+7OOWnwfjENSZEW
j1nsD5/iuuueCfkDTciNRX2zQy/6ooyM5bF3bJxfLl07uB7AO/R+yS6cMT+T+l4ZO0GGVqVvnM16
+ZT2+JlbjORJLvNvub6oBvrKKvTlddHX2MREiF8i5yZTXX3DrrfgDs4x2zheS4zSBwBDPQYJPxNH
L5YNfUsm1ciFmWep57vpa7RsrfwyCw/DfFW4PFB96W71/RuvqXFK9Z18asL8pSrt+HPWJZqBVNYo
7fMEhaFwSTzvMEZy04/XWz9xm+zcaCmgX1WBflUIZjGEh1injvIIesB21FpCvljaVRJM4+90+yE2
1EjRRL7zlv7xNC4fEhdLjN3M3hUQLXvmMuPhR1a8rTsjvcpV16B0AY2DsBh6h6OlD5oPUEECyqW+
Mey3KQKvHffoacGkqs3itNRL5JGdQ1Ah1SzulsIJHqOQxXtEd4HLMGxjlBhXOXdJHgwfpRZqTC3Z
jKt6M2ghx9aSzrKqO6kWegIt+Rir+hOuSlCgRaFm1YdiLRUNq2qEi1u8dQGolm1UNoBY+rL5qmi5
2QKSEe+ZshTyz9zNTy0t1f7JttgkNwqP1SmRCNHBqmCFq5oFtth6tQYzvnB7s7/1bgNRVti8abee
WpDDotKnpROJDGMRatmkhTOo+2ho86qn2au2VmuZzdeCG3jH4JNK7G+GFuNchk63onfnH06t0Opa
IapyH1Lx+AVMB2pevip7pRb5ulXvm7X0h5e82xWrHthpaRA9qNvVnXoUrY9u2CR8npUWEzkg2Nih
EBgLLTUuWnScqDjZ2dwI8M0hSVIshr2bjON2WRVLpcXLatUxlZY0DS1uEkFOnqQWPGF1oH1iVUIH
tbUkKrU4umiZdFgV02BVTznr5+doRlLlgIG6GmihVa2aa6jl12xVYptVlaUQAnvsqtUCFqq/DquC
a2sxtzEDdF1HS7y2FnurVfflqDU8zFoMTrMlDnAMaY0YzN9wMLRw7GoJudFiMrdGcYt/DYW5W9Vm
y6G0nbuj1dzHDMIwuTLy2rnxSDGfJBKwFWb9HGUtoJgsGC+KvNq2yLNmR4nDjV3PHVy3Mn8McKju
Bixh5zRj2YT91pAEL16i0umPrRq5mxGHok9IJQrMWTYT7O8GhDJzWr4v1jAVzMmx3Ff4hPdmFWMY
zE2cnpMp8qG/2DSWULllK4Zknxc6C8sTpVtlZn7x58xlFg3CSXTdl76nyeQ+nAgRSWby9wI/1oGo
j3pyi9x8QoSJHlgWpyNGquU8YId27LJ8aoD7P/WiDTmJJsTgR1AnXyxD+RjEvHK8iecoe0Ud4NjV
jnys/KQuHzisFw/IO3SmR4WDBTOz74KooHpmWIggORDeNoLdbjsVM91zMughKXlNSv9EUdylgcmv
62aMl1pM5ps2N2o+6thzNoISr2sj+PUh8ctbxylDDGLkVJ9tX7nnFAzFS9QbPsLkEMY/LJqk7wEP
9MWRMpDqOptzSCl8XT9T2eSdIx74R0033HmclUP+gSKiiebrr2ijU7WFzrGcIgF0KbVnAiCQ1vdN
h/c5w5CGHT4RywVKjqdrGmmHGtOHhvLqjdNI6z6s8tbezNy3n0Z03Qql/pbkM1yZEnmcz1pfPUSL
l5AKccsXHGwCo8QCrxN09DFtlHHP/XGw9lKOziPwoRiTqw3cB6c0vcPNVPNzzG6+mRdvfiQFMh6D
OQjOAyOAVxVWxcMgnOHE5wnAaQmedcOYPih4iei92izzDAA1Jdy/7aHLPAIL4xrTplZARMQTXO8T
85RCHr/vsyK8pat2OpOOSgDf4IUqA//DhBz0IVpLVhzKneZLQhrgK3my7NxWRn0sLZB5mwTshJ5/
xmzSUKydLdk675AMafYQBhxBGE7DrOqE+yarxL+Xc8knj5E9A7Agl7qDcHTQdZSU1XM5B19Iy8Is
GmK8+ZembUD9UehFBmMoxuAtoS6cRG3QNg+Q1pL2hE2G6MTiupmDlZiR+FW69O4da7z5CNdzR8/a
lo2fZ5426PlZNdFuCix/ZsTheocaAw/dVaUb0gOk+yhllV6ATbXFqe+M+ItTW07yLl0+4lsyBqaz
V+OiIoqHsWMs7q0QE40HR1Duidnf8JaVKrvBfeAa7TsS+BvHXiKA3L8/0mGSzEN670U0UX3TNMkL
w4d5X1hNcfaaFlGsZzAEZOHJzZc3FsDf7SR+Tzv3zUOp+2ZVLScIm2pA7KX9G6hnPICenz+QB9mP
dmFceXHkxld0/ZZZ1/xuLdzGSEhhTSA3yOx6k/RJflLV3D1azpjN2763Y4ZBKoiiFwyral8scnmM
F847KDVUBBp/qJD/ld3/jewOmFB3A/zz29PlvWzf/25N++NL/rw7BTSs8Jn0uJ0gUARSAPj88/ok
TPkbvFiUZV+3NdCj8A/hHan/H5cmQOS+0C0Sri904vYXYf1fCu22hir+xEGE/xRY6MiEa+g2kO6v
HewNhNo8jSb3UsjaF1u4tgIelWCXbbZ9a9RdQ1qU9zBCY2FV4V1VzsLZouUYmFeWjp3wOSfRZBQ4
wlzMqXtjmZQdnvywJ/neWwOGX6+hMPsui8kCe4dCYZ8Y7zpy5fFEcMsb7S39fNj3D12bF+51sJv2
I+MzzALKqVpIw9va+iOek7DCB8XnvtYLgOEvlJQv67rQ/LFI6OjjcuQKoClxk8jBZ7Umx1ZvXWHy
xu+bB2KuGYtHGLy1HJ/JQa0rk1JDWl+AR8VQ1li7DEjwFT9idpf9tK5urH6sdJZe9CjL8+8zStvf
Gr0kGnpxxIGePixooYeqnzGbr6touq6o1bq6dnqhzZYiP6d68XX1MszdgRVZ6MW5YpXOp/kOxAfs
vSGj/Jg/wtuhdy0wUSzwoCwF0hiL/rSu/4PeCvp1VzDXDWLdK/A5sG9UegvJ191k1BtLaSzFQ683
mykuGFuqeTxiHJwfg1bON0bADgZ5Dj4DM0cjOcV5mnzn/eA8puuuNlTSuCeNg6fOcRXxHRZhKrrK
l1hviYveHCu9TQ4Yy6ut7bPV2+jQn411V3X1BlvZUb8L6pyNF/TXedCbcb7uy0lv93shyx41X4cr
iCEfLKS+U77u6rPe4I25qA9+khtHHOXL2Y7l8mHqI0GMgve86GMCTVXVtVrPDrY+Rkz94g6CVMxg
d9LNNn/9F7uRPcS3hqNN89vEZCJMgd4QQKW6SesWVMsNVJgxB+kOwjMNDlIZTzjSscoTuKFtctmb
MW6Vj//qUf8XPQrChoas//MV9ZX5dlL+vfz8zy/6c031nN/A0fB9QIv7uvMJiemv8nPrN3y7tocd
GFmIzgE0ob9qsILfbPADAhYBMzwJCvbnNZbvBi7AY9+VklXxP1ljV6LCz2ss48vAszyPb8lvYWIw
/rswRZ6UJOkciZPvz2WuCXL+ViGxcZyZm2tCccVUhl9nKmNzVI0o/mRi3NvaSPlkU6P+jiwmXdBq
oBnSw/K5x73oP3CQr7nDlFpYoEePi6sPFKp7CQfUHSIbzbtp1ZlKdlxTok9csMpXyUDuoS50SfQg
DfUdtn91qWImGJBinHeOWVBuJtk671bt8o+kawevnVsZVMlBmsusqph+ANQNvPQmQf+5iytvr7gm
MN1KLyZ5SP/oDmH5Mlp2BAgSUp1NU7UUYifjyngxbKeGOxKTSAV2zxyvURnabkLaDDf3dCfUxLwE
HehrjoAlL203+DwtaMRggsbomtZQ8FHMOD6xO1bcpTlxHjgqYl1us292sZSXiCkIVriFABussS8q
bWkbFaG9M2gvARdjja9IzvNTUTkiOtttTy1fXdSccAHvMFuI7bMJu/uNvYj6zHYCGWm2uDagvnD5
XobGe63bBL6RR+8pl2O4ZfUGnhp3pzCI8mTrkSaR9w1Ip+Zg4Gd+UViG3vvaZuTm5kxM7Mj2ryup
bRot/SxngucirgLxAkOHyMosR/FCZhXuUl47fPvOyk095ezEXWtZGGe9riW1ZtVlXgB9HKAX0dAA
V8VQDeXPIxeIi1CUuiI08b+5AH5PNaSr3E0DUabYznHB15BkybxrTeaE0+0CAcfpCsrJgXwlW6d3
/WsHMw+9KY4gi0aTE7z6Vcb4pqSE8VX0RkfJqM/whLemLV7QkHkYRU+79+iR0ud6FlhnK+6cdwhB
4GTszldEsad2uQQcInichaguMhLZsk3thQfkaXydRPri5J4teXzD/ssvMIqGUa8XpTy7xRBSwjEW
zKuikA1yx53fYgg5eWAzfBKY8i5Egg2pXwzN6NzVA9XdUZV239MU3YYqdf5uT/rbxlWj8iNIjq7Z
VgY4hwGtVzea25jEQhAI+sH7S4eauUg8fFs16vH+0jBcW4l2Ex51zMgtxgOXS+zWBsiHaaeX5oOf
DO51/YkuPb4T7FhQTmMueG82gw4ZpSMmvFFlna47cZDT7FEOy1EpYb+zm9PMbUcUwrumqt8aYncD
w8+J3vYkdexHJNBgn1lNXJ0TK1HtPnR7y9oCGeX7R1bOw5oLOJ0xZv/PdpfOxuv6W/r50kenfLZh
hxHt4Zd1apd3mSEtGGkqZ0ifZy1m1tbVY7qsGJrlmVoa0M1Vrl9Saernx08RIO+6OagugdtSdK8q
/h7MCaQoAgC0uRsV9Dx0Mt4QQUHKxxtzViiPU8bJRm6fD0lT578vi8M7MnUN/Z4SktFQ5Bh+gUCF
b/3iQbqmdKXOpu3kZd246wK5nCggHp/MEVwWALH6zeKdZtHX3MM9zZHgBEpRUF87v9+Samf87kij
QZGQbbDvizIilq9a7w5nBdR0buCvvJgkyahUEU+QJbE056qt3zq7b0O4EXICbhpYdMH7xQGtVW5N
CkGZBHbtR4p4amFk52ORB/n07LsGlz6peGNLRXgcx1ZlXF3TNnh0oLCszQLvoN12zHEJOgQleihP
2bCcpsDxTiOUJ4ixqWftRVn51t7GBMPi0GYM+zCAnRF2eX5nivFeFVGVq9s3jLU9WYz3HPEQ7IZI
YojACrmRdMbjgVV2DW42sWh+92MOuuwYj6WoyyfCIi5A7UyDmrwsloivi3cwRjX/sL3CuglVBwN2
8MX3nAztqx/1k3fgvJ5eG/TwHxaq8EvvOPNZd+TtoV3D70uMTyo11Gss7XZHxbiuXw78hKIA4noc
LPOrmEr6Z4OpPJAcn/dlZC4/4IFnfAI4Vl18h4AydhFvJie7hNYbY4X20uHNaLaB9MS5J1p8W+g8
iTPSObCB3yDdbRIu3tWJmjvkvOIHgmls7xd6bHJywM18U5KvvSMT/iQKQ04EAwV9DcARWnHNM1bz
x8W24vNgBkckvOmwDNawa5usvh1pEGcE3YcP5aBYTWaatxOj7p9EiZ4WjcQiu6BdIFz2YIfrrDTl
p7C2qlccI+oZLPdD7AzNE1JDtBmjVjyFQnjPpYdzPu+nzr9viCCdEgyiezOKzS+RHKeLHfovSyTd
zwyC5LGaHCqmnZGUBJ8PJiqnQeEuwfN3mmqCE30tH9qWcKJb1LGzz83YvI4VDbgcmTvzsY015Fl6
5j5PFdjVlNsZMltHMSVOl9LcUc0xfg3rqci3wsYjDkWx74sTPRbUnhkCj/tgNdWWOHr3gnfef0sw
8rZshZZ536d2vylMoz4PLi6r7WilXye29wvR6f6uk+bXUZF9rcG3IB2OU028GR/LtXUJ/g1cjJ+p
hyCbMaXiMRNu9zv+EPV1hivXvE+dmQ+PiavCCAVnwQ2ZZ+RZGvVF4vd9jGMR4qIEPcJRcLoOHWlU
/MibwXPVTY9V4F6pzt0Dx4s0ibL4kXcQZRpdKU4Hm3xMk2548xMXki4IvoegDhwuC2OEd53ihgau
qEf3HbfEW5NJRLmLe9N4xINCnbXdj3ueLgp1bXe60VUbXyk9sbeMTYBd1OZNZqpX4Hm0KIE127Wp
+SZkdE7HtL0as2N/GcfIwudL4HorwlbsocXElzayo3sLX/1t76mT38NIzDyJEmcKLFdeVU/2dYxJ
Yg3E2bYytpntR7XsOzY/485F68T0GV+ZFVYnmYvPYUr7UJS7xUbJyiY6Do3PnWCNiBqGfStratMn
AhuRFYTLLrIbF/YtW/gBDLRJCFvW1qMPfPDBD1T3XDGJYqMvoTNg4Oq22UKKxOuGW9rLnU3dR59c
sxGXEoT+TliwoCJgqZiGiuI5SSuEq5Tjx0HSe7CboH23+9rUzpDOdRD12jh+KCYFwsky5xeTW/hl
bi1t++ILB/Dqt6xAAzIqCuGuK4JHqzOHY132MX+Vdn2xiqV5ip2Cqd1ctiPdfZqEGI+VuOnxkkDX
cc2dCt0zs1z/WmXR/MlsCTpD2CH10MdfsAqFW8cRlBFF0xB9GuoAxaOdKBhsWgugdTGdJjOC6xDE
/sHtXV4HPEOjuymY6JKgJgmvDnMW41V0C5pYCT2RLEt6dsc8DiBNeUV+rEfbf60DHvhQT+o5TCvv
AGo0TPdshxB30jbZNSTRNn5IXzs2iqc4dEsGV2lsAy6P8KvYs20BpJr7C/oKFBgpKQjga6Zbr5hI
F3usN98ZgLu/E8Ub98CRnOVE53r+gXLRnAIVkBLUR6u6aNEGBiZSiy0K0kBF6u4To6n3FNUnVDX4
/e1YCyIZc95tceWA0mbyfslSwBb492rrE/tbdtuVuQVSpgiYHaRdAooyY7LeF1PkPuUBQLStYzC6
GTogRn452t8yIc3oANGm5ANkchbMXJHd42R5hh8yXWFctqCTGGmg2vjhY8sx4BavY83KO1vRF69g
3L1brJQzlh28Rb2onhZq4+pNEcWQT/r5irbt3DUk3ZkYYTje9ZXT31hV3l0m0UAMLxMQ4E7XvsRj
cdOMzaX2l2nXBLK5L9qq/cDgxjysa9QNPVzhUUX+Kwc1kLqtYt6p7Md0mKmOcoYsyw54IaP8BvA7
9R1JsCw4IG0QAdsqL+kQLyBYPPWWWX+bsiKPePtIUBUgAyCEl9ryboXLNeuVUXzMw9Q+GMG8QFaD
UL2P6sTpv/ld/VL3c0lhp0IiCeWRaTPNoQzwj01seU+VyD9jOp/iS5nDqrhapfnejUF9C8cr2yQ+
74VzNiY4fJZ0zjBRprH3xFDGMT8nBf+nRppSy/ChqtsG+CbEKMD2Tj1+XmLqfG1L+ZH3EMm6eWD3
O3cFO+h4+ukm/78YaX8RHzEg46SkbQ/1EYAg8t/fL8ZRMPazjDjXekrZ59HiJuoksXxZZg/kOrmd
47/+ec6vvmJY3xbsPMj8nmlzVEAp+Dl4y3RqdpmHEu0vVHDtqGp4a1mY3/GaFTEspv4jhgNl30WD
31tnpVwrxKSHo7+4xdaQs/Lxwd67JGrVPUKmuCsMd8E6gM77OsRdsGc6zAHQJhjDsa1w2+9mZFoB
F3q7W56la4Rq30yZOiV9zzGzTp33yhnG7rnFpN0elk4IAqQl5AD768J9ItuG/sSFLQJzx1k/4i6S
sWK8kH2o30ZCW995y5S/+8tQPltBxIm+a1r+PRn5+s0s7Gm6ktHwDL12mlywiF09Lkbbt4cAzxle
zKhSp5l/qHC21cI9qlhQW98Kv3pb78KF24h/k5//pbaLF53MvI1SgwJuIs788qJnnJBDQAjVyZn1
fdlJUu4Gvci5rv3rV1t/o5+k7T9+kK4HRU3He/Tru4sBI50COT8oj3Ne4tovmFeVDa8Pnz37vQXC
q5nHE5eQhV327T/96T4NSuQYfVuL7L9iAmoDTwjomeqk0lq+uMTidkmTzJwfc3WqJoOf6nYelwBj
LLi2/esfLhhK/PLYcQFi82bCQNL8fzx2aDFGWMFJPqGP8t2HkTTtrZc18qVMW67NZOB58ANY9UsX
QdfZmArYLPVEkZefInsSL+sv9N+B0b8dGHGM/+m1+x80g8uPsus/svlnux2rof6iv+x2OnURCJhn
KFQ/++384Dds13qKBEHAh7b8j6SGFfwmbNgs/7u4aeMp5x0peJFN/VX/0QDplzeaD20DJgLSqhUw
6ZL83j+vqGiesfKpC7sZBK6aLUBY75HL0YKEX9JA3HjBzWB+S7U7rW60US2t/OCJI3J3IqY+HK2G
Di4T6JO5/elp/F/2Fkci4P7tM+AjObGaMylzJTqv/GWhmVpndjIK7c7eAMzoPggy895fXEZZzICc
bIMJ/zlhgG/vE0UvBsfhjVEPMKmmoA+/+2UpHlsqbBu1r7lGeJ+X2ojuyM2OuDeYO7wVVP1QWZMP
Nc0mg2sAHAcqb3KUcPzWAGPWGf5pzDhj22ZWAj8QXAsx2FSAZdUnLFKRXgeKlCArVmJi0m2OR9Zr
uSEYWRnc+KoX+0rO6X5SwQvDq1j1+2D0rQeg0j2XdgD0ID7x9TKg4ojRj2nzrZgL88kOqQ3g062P
I3gdTBIZWJjEgfa+OL+B7ZfTQbMeZVJoEY9lw61On3NKReVTGBlHYjXqpolScex7q/1IzFjdBzSy
7YjVXODh3NSV275463kqmOaj1/YdkC3KFCZjMHYUYXMEy7Gt3DVU4lGGELNzog9vYn1qMzi+YZ9H
eEqgHO6WLI+/SFBF3sbsnfHWiCrjkUwhB0Evntv9mAxsY97yTIsRtuuZNl0aQzlEtqMrooOfGTbs
PIBjtKK1mwnRn0Irep/cJ9PP6qcBRh0Yb794cIbF06WYSmS3ZPdb61MaEcubhJHcL0uzt+dQHigj
Hl9mk4tQGZNomwjUHOHolIeau3u2Fcrtt1xR3P2CQe00WTRqgyoyNtZiQvkza+DlSzdu8Qa4jzzr
zQUwqDqkXm7eRMIKbgLh+jexMAl9hKWZf6k70b5UXpX+3pCgAY3aG/Vz0yYLQAk5XfGned8jL3YP
pCibfdHw6JVEf6ZfSe1lUnVQZzHpH5ZmxKdVZ3X8nvG231hSTduOdxoKZYRm5kGs4fQ3XJyx7fd4
voKj3cT5HqZguZEjEE6qjq2nuCtoTDQXuYlUEvOWVoUXHsYha2cMNrb7xeGbbAFgMir08Zk5AbY7
GaUEbNJ5/iGbKLxtCLUjyXKus2t7GLfcANw3Bo0L0AgvFme5eryr1e+9rN5vBowYkkgo4AmXqz/c
Wb3inJ3mXb46yF1tJncmEhOY9LXFnFvSJaDzwGF6YubnYXWjFyKPr1HmllThceu3bOCY5JXSfdoO
EF9n6VCN5of2B6ZH7nCJtr0vY11edWMETx/5IlxKGOQtbZWXq2ueix8O+ohx6nAcVme91CZ7D7C6
c/Syyj1nnfoUxOPyzRsWKhzG1j4H2qqfrK59YjvVHSvh+Dasrv56dfgXq9s/W53/DB1JAVQ6EFDS
E9fvnDUnUK2ZAUvHB6Y1SQAVFo1MrAmDeU0bkJoYztWaQWjXPEKqowkUQZBSGHRgoc3t8dHlqNri
mtWJBq7J+T0aP1hA6VMxOK7pB8U5gQCRDkW4LAeXIobMBdAiL16Z8zZP1HB0qEnMFG5DLk5Xo2E8
sfOsxrznplG9eEyIERj6xN4RpmmuLu9RWIVijm8I6qjbUXLTJ66UfaoLUb4QGhLE83uAETXxApZn
Fl+nzbKPNOqMcpMgUQN6tZT70CZzbnwBXrOM26lpgidpjX6y90woowDqkP3IpxXBD7VQG8VIYSRt
FsNowDD7JLqhOU0V/FLDNUCpkbo6mTKFqkAmx77EwZAeiImpZ8eqlnQTcih6FI6Un6uhSJ68eSrE
qVVt9AAOqua4RK9BvpVe3H6tZpMokg0ZwDkq3feHBJ+9x03QgMMX03Db+WCsN5EYnZgstQ94JsPC
dG9MnZHt6Bnhx0F0HX5nfQ+eAoPelsaDOkkRND8iCszlinxhHdLZojMgQ7psRgcUhwHsMaWy+Qtk
AcEfvOlY5/mQZxYx4tmko2HTL/jHA8bj5K2dxruKiCKdjTdLGgbMVoBMnbgWnrnn9pfOd931ZTvh
rrwUmCXiTW/xIAfh7dvY/Ugtc9yNvl1vs2ayXhN4I+cUReEhsGKSRFbxIZs2kIR/Mut+MuorfSYs
OU5+jWY//CCwfg4o5NhAm522EXfInW/C8q5rO72bHVDlNr4IvmCZ5H3JBx0oROKPd0CJTMzcvdxR
1gQoR/FH4pvG13TMmkfFtPBiO42dk7GMyzfbwWY8WKjIENu9nYKicNTnkm+5kVUfvEsda4u/OWHp
SL3B35Nyiq8t5N14w3aqLpbfTAxDrNiztqJdPJvOSAPez8gt0TrMSFuw7ZbefHXTriv3jdswbey8
KNvPARy5DQIelY0pV8ll0+VdATM59kasQkxcjnWWDMa2R/F4A/ievTKf5uWCJGqnw71B0dvTbLrP
2RQ6xzQtwIxa9Dwu27KNrds2GV30Uw5e92FG5RxHrOrrXIXdoaPVYld1Jq8X9Fm6dCidKr9awEz4
nsnwXYoy25tuaOtNVBW3foPk3RIC4lPUzhSiLNBO6TEyJbk7H3jhBo0ne2cKwY1YuEiLwrK1i7O+
SX1gchs+dYaN/4Vr4bbPw7GkT7ApnsYYTlOliU22ZjdNK8bJXZFOTCDpoGjbJ+75bNbM528BXse7
qeIjdk2kK5xdMLUt6rGdMHVyChueHnf0XaiJUmM6Nd/8oKkZfS5GcOPZLdhiwrHg3GHkBPt5xVOh
RS1nf4VWBZpf1a0oqzrJgQBNxuKh5qXpgAl1IRg4rhAstQKxOJ6oz5J5A4yjFZlFen965FMLSMvk
PRDuA83XGlKUM1AqSdmcQITb024awxheJEgRIDS55T9PE7yuakV32Zri5auMhTYONMu1cvP0ltEL
YyyWdsyypT+9Khk0T+Q8va9N6OPIXnMRGXjuD0o9NP7Aa8pj0ypYIEZUELGIxUIojP7k/pjoHIYE
dVLc+DqnEfUePPfStBNKOiLzzGSdWAeRR2PTWj3q59QjF3UX159l5f5xyP7vte7fXesC6WPP++eu
lWvVJ23yXr7/7V73x1f9da/zCdq7kkSi5dvr1e7/21ZwCYKfg7RIwFtYfzha/rKtWL9xk5EmugJq
ZCA1O+5Pa6DkGwbcHEHfMYjhaPQfWQOtX3QaQlvgbvDvORACwNTJX1wr1BCPfZUIdca0TeFqmhri
yYyb5ZawZX2omtSH3Ft75rfW8P4fe2eyHDeSdelXaet1I80xOBxY9CbmCDI4kxK1gZGSiHkeHU/f
H5hZ2SmqfslqX8usEgkGwuHwe+853wkeVOTDAc6L4GQ0MXg43v9rlSnEusIt9ikR3Ms7hRxKj/P6
g0cTeqOiCgpXKTp/bUbJdG0WRv89oZd2SehQ9uRYdbetcuLqWevBmUBLyK+FpYZNUzPEM0OBirrL
0XyzD7n3fdFPv+lUfWhPcgfoSdIQ5TYsOMGPLRyc0w2FalUdOWpON27Q+nvOLP7a6rrlc/F3/2OJ
/LuS9ceC9f16qDFtB+gCsI2PBjbLMMUUpml1HI3GXk1h9sqhZ2DEyT349ZU+WOWWKymb1hA6UhCJ
KEl/rNrnHrQwb/fsSDRRC16BMC5MxcaeDI74HpKxs9dREtz9+qIfmq/vF0UJRb+AxeQBEf3xogT7
tGPO6fPYu+yHK2PhzLX4BuWmnyRhFv/51ZB30X4DSoGO60P1H/reGBd5ArZejDI9Y6Wed4A7zfG6
z/w/u1s/8Ct+4FUsXY5/tBqXj4bCjIsoG6Yj7cYfP9qEyTUibSU+1tGU2Tj0qOU3dZ2XG68xIYQR
tXLdU85fjm06HIApknMat+7vYs1/vsOLvIyeqqAjhOztw9eama3SBCYlxxojAC/aVrdkFAfBg+9W
xGT9+gb/vIakABNi0fzxwDV97Pw0FMp2h/0e/tI835Zew0jO4AmGIpRGIMFjmWxU4afeb6777z6k
ck0CZF2Xlpj4sC+lYUJamEvgVDHWA4dyvk3UKiOxjzGw/V9/xg/XcmjbAnld+mh8vSad/x+/VwdX
pTlEfnyMqec39aQV+GTR6ItQj/bjr6+1/K5/rKH3a+HN5VZC1nWk+eHLS/KOGoWz23HWjJQ2JaeF
Uxbbg7n59XU+tsWWz4S80fNdNhmWq/XjZ8Ib3jZuOcWkFsgh4TRDPbFydGGRKmrL+yiO8241NR3h
CDMNpGBLpRWdf/03fFg7y2c1CWXCou/iIoZC8+PfQHGWxrXs+BuGFjm3CfRgFWKGOge2zk9l6DE8
d239m/38/RZ+uMXgIvjgtofY/Sch5oAhuJwDBVMaJuGnBjj5iUmLvqpQUe8b9HTMT4xywtCiwRys
A8ZTw3F0i+kb6La6+VoNfn5KgyI4hIviPcB7dgrmxLj99d35d3+n5ItBSMnpANzsh9uTSjsYZ2UY
B2Er91Xr3mnWA7NevqLMHV3k3JRgK50YCgop/vyzGCyo1HYRBMc+LZ0LYFvBcYo9+8o33FbtCLQp
E9hYvhr2v/5bf161y5jDxpEgOZH85B8QfkEjIBtj0jwEGbUp46aU2qXttr++zs9P4p8DDaoQUL/q
47sxNixuitHGxxKJy60fL07YAlHGBb4tef/ra5kftnOWJ9pfpL+8HSW98qUZ/8+mtvZa2TpTwnaO
yGETesGwERlq8YxHZQfSNWTKT/qPiS7q2UBWtqek6X5zY03xPo38cbnC+hEKJTCHAv6cD2+VrKkM
iyeDgPoebdZRZRabaedPdnUM+2q+xaQgXiUYE3DlPcw8XUXkTccxkEY0QUKiLBmCk4+T8KYbfKtf
tXVCmnBNkhc5MWk+n7OoJQYaSPvdnNnB2zD12ZOns/k8Z3DGGaI37r1iYHmyck9eDI1gw23z0bqT
yHDvGSGJQ2d65mUELq3fiCpG5KvG+VaHgd2vMhpOjElF95IFWrzOEHrOWEooklGBBW+kksrqVOQ1
WbrFUAWHGQZlS6sUXcYKJN9yRgCgJFZFbTkvESTEr0Wf24+jbVf1agreU2GBWL5lQ+eMm5yIpQh4
fBKdQ5sn25FsLWYzxK99xOZdtqF8o7PsWcjxODZSjgkywMbYD3viNVxnPzqCw1ChCNhE1WFti6RW
z16NkIlZe8J64+kPSXQvfS5fVY1x61kte6doe/U8g6DfTKkfntXysy2F7jnUkuSROh7bcaUwLzzg
lNVn3jPZU13r8fr99gbu2G2tIhK3FYrOlHQOlUXHwAxd+2SBID0DNckxMs5RQqf5fbeChXrRdJiw
1wigjC9FmbIiSzGZYp1l5nzowRvQDCJfokVnLqIHgk6cT30jMgO6nyhuFmhhsUkAqFyMmCHPoBFD
ZG8qfkWWTkRa0DQ6hNHuZ4hlJS+FJLTtRw8lnIVYlHub21b8moW5tTOb0nmhzYRWkYeGQNMgzudb
OdLoWncpicxiqKfrWOO5QD9lxl8yt2Nrwsj6ZGqBxsxe1mG+IKW9HrEF2mSSbjfzZHKAQZ4y74oh
Yy2pvJvP4UimNgrbuNWrrh3m21waDI4WxOgGSRDkqoQP0K6YqcwwKFlgW8Tb1Us0hoJZi8fqlSm0
riaIGMz25D6Ru44w3Y1SbpgIHX0OjSw5pV629WcadUhtpuvSyOodxFUTvjThYzXIm7U2yuY2xHt0
FF5TXDA8cdYxEXQb12rF2bSL+dTXwsXVKIOHsFPb0qE/iPM3PWuuRpS6VNf5rPZpTFRsXQQTGq7E
fvbIcV4RE7UXuPsYA5F+LIxppulo4V/Gn7TzJ5jO0CHJtuCu4kSMh+sYzdUpMf1dFNU2JJuoJBYJ
ZFRk9Lj3sVuuiLpLTlnqNWuyRzIIlR0ggNZh7CWd54aZ0znM4+sGYSJ5u/a0GcgAX/PCwXJQx49u
4KLzbCvrIiNQVJAAu666Ytynfi4QhJkormYQWH7lzKvYj+7aSL8CWXypeqPdJkZub0jDYspAz+lo
CO9zTTMffZddoVWcPN5qSBm/5LZzmsHB4U2I4d3EeE0d92EYggvQWuHnDtPXNsKocIqynA3YWc5I
uaWv3Ni2z93c1rdmnLUnYyDeaJ7dy1TV2qtWpDOr1idUqrbC9ntNXshBmyUQCYJS0cbo0E5OZumU
5iowQnXZS5wHtHWQwtHvteZHiUJ0N40ZPuIOzNEFEo36moOSE21GdxmcKZE9NoAzH2lZjve6lJwf
ypZ8wVU1zPqcktm3YC3VzkHt/S3JYVVMmUtmT+2jVw44RZ+bUNyhfx3v1Kj11p77fru8f+SK3jVx
dHFV54hwaAoqnrTsyMiSo4CVgvhtNGeR1GNYlRZuu0bYHLMVIbQFuskbQYW+OlQJpQ8mq3STc8zb
YXRw9v040NJtKiu/bkX3pLKZjDgGbRCKZvDWYQbketO5GKuXoOycVLo23RVJKheveLtD1R5+6jDa
Xtj9tOniABbI2IsOSebof7GTCYKZJF82Xg/sk8fCb6KTXXNuZ9KE9X8echZmwtmBEiEzbglqVttc
N6SbEHwpcgSavVN4b50zpTA/EIc/WLlUn6YRS+teyBgCQz9CVCt7zmOkeh6qefavJqN2QZIzqbLL
slobXa0IJBr9A6Zh9JSV2TffK8vzttWY6FPd2UjnHEHidQNV24EJRx+54AhTqH2vMv82C2oCvSGH
2RT/KPFoUzTmgxGT1WZ2mX/iS/XvJwntl5dwRtytMThfp1m0t6pDGTtBO9t4JQkonssScJOiWmky
ifFHwAd3vY5gNqgJj6luMZd3rb3KAzM5BkltnbmD8caGpFEPgbkfpGRh+8UZNKNYB7lv3YR1Jg90
9+1LTL8IBSsCSwNZm2R9j+U+I4B6lyHWe+kX7CobTb0eWoZ8a68rF+Ud4UP7aCisjDhuRkNhG4A8
FRMENeGV12ImGglVS+muqpYA8a1OjdJZxcmAYSIt1LNMXZo4ZR1eTIb0SnJmnOyo0bB97yjHLxGh
99g3DVKM7MpnpM48m3f6wjBbOpPyioodMyROQAoAszxlpu54ujpk10me3VSu7K49vDcHu24jfx37
3iGH/3ccPVL5EBp4FyX06nPS40h0wiF/TQumJ1tyUutPToj+0nWT9M2XObEJlWIkCxaeXhKRmU+q
rb7k/OoFd8j4wJczuU1tMA8vQA6TkU2gJSkW4V3Ky1V06xoM5cYBlnZB8FiM1YBpvOzjbZpbX0f4
GZuYRJkUBovdImkP9ZnxXfmqzGI4zVPCtMPnHUgDdt5rCdyHwVt3Y4qhfU2alD27znhrsAk0aQge
zyE4Sz52oi8UYkSETaSsOcUUvUWGrsEygFfgwe4KyqTOeKvdqEDsV1lX8Sj7R3jww6vTxB7SSB96
cFEQnwqYfvZofEuNbDknHTovDgaS4RPzVrIacnf4pDszvhJpTp6jN2TmKqmXyeWYmmtOUQgeLK02
XVbT1cBXAKQ6m9ChOt10cIpEnJ0xzjYZaDZ0DZaGA4T+2yVrIS2jfkUa4nQwg7E7weKr+k3nWCXb
mSYfyYMXBGhSWv0Rfg2vEZPuEOuSrvw6bGfjAXSM2PkETG8rXgp7lJTdqZrj/mtFbbRMRzIyVHPu
AuSRL4G1LGU6SuIcqcoin5Xp98EVdvAEnM9+MazKeLOQflzC3gsfZDEnBPvyaydn8h/NIoaN1ssG
NbwTc5wU/poJ/CMH42DbBa5YRWl959pPITNb+PVsr0EWsKjyJyELoJGEBqphSleJKuY1busdDlRy
hQqo/U4q8tW06JWVIpjcLHAueNTYq8JGZelP8WuaWVGxNqiTob51Ja/K8IBhwtr17vgdcLq/p5Z3
1jVDg11qegpfjnuyWjgdZoyeO5f9zgOhvZaeZWxUwHIWyWReaJkTJWW+zBW/OCp7b2/pOkW1rDOs
WPF0X7uwGCz8hmd0v29GxZihnom2dYfBOsU0drdwCqZTDEfw4AvaA9Y0aJ7npt9XUQdpqsNkQo3P
W4eD0MnpS2fb+nG9y8euvRTdlFym5rRPyf5DcBdNa4pqd4MW/3pElrSCmuoeZAPzT+SDR2lSEc7k
RbwgyuBmMltmtFmC6bdrv3eNUW4rTEV7043LVV77IH+MfNfoyr2Ai2CtZgYfydje9rbxErvOrgwi
zTnFvyry9pQb9fOYz8AxglNXuo9VE5zZcmkYAYW6cJv5LanDJ9P37xT57jBbKzIpCB4WMSbplCal
6kiFlkCXAEZgYjZM+VguacOitF4n3+RgZYRs8pF1zNym2wCP3SV9hQJBjas+dL/mgw9bHZU2rCaD
iiAc+/7TbM9fJ0Kt3KRHdKKyeFxrX4efBB5kGCmNl57Q7wwrrYGIlrh4zHk71PHnCbXwgdSaS1k/
Cm/oEQbV/jZq43tlh9FBgfdeN/XQfzasxttOI0KrgRrmskdrfGimZHnMtThJO1af3dYpGCjVLomh
0dgc49qlPYqkmnJC+dG0L0eQo9C1wNiiOZpxBEqj2UX5dLdggr8Jl+nZyahQkzML9ltP7K3BGu0L
pt8kDK9qBAc3mdUsv8+q0+QFwb870rhAK4Y8tmNFqzFl/EtX0yHPTpCKsyObj4ThlPPQQdm9Mq66
voPa3RplAlEMx9nKbUdKzpTksqa3gmcvTIO3NnB5ALkqIwaJBqLhKEIhtbG8krIoZNn3m5LthT7T
MtPQZR889yEFQmDU1BilJS+SeJ6uat5xT14d6DNuVarkmNyvTteuuEoMGQ/bDp32bd4rtqURSw3G
nKU6IQR7+J7M1niduBpINp7GnRlCEInSMXgG9UaTOySL/c5sZbd1ZUMlwgRWvJIw68pzFw1Lyet3
pV5H+PI+1dgRN15muGJf4Vg6crbnV5MiaWyjkgKd8SwSO2Uq6ismxF/cLLc2ccPxb+VE1Y1s5nVq
DsWxqMj8mXnlH6205UXa2sHJjiRNAeAHZ69X9AiWSc379YbKMbYa5cgxwNOzp04Y9kI5+ef3f0Ig
sXUnXMr+UiX+HqfzfIBXVr20ObFD66mx6BJ4Nm60mWOPQbHJrGcu3Hs/5WbCQ5C4F7p6994oJvGa
McpUeps+pW+coYAlSyuOfILy+BPzaExPBKkUezeX7acy7vgAOHBzpE7TjCqvn25QrJufcwijHO2x
3YArnppjI4vpJp04787k2x3mtJ/PU6V1RwA1n8shNemhkpR99RBV5VrqpIY0VFHb932mEPmnwYh2
fqYrQvOSzaBHLRwIUBelM8j6mAYiz1n/YjYu/TKsXmj+xXuRJnQUPXytTdMSOZf5HS0ZzNiQ1cO5
3HWEYjiXGaasK4kg5KJMZiZks6R5Fczp6X3dGXEx74aEb8CeyYbBwwnApWsXnx6ZkPx9URW8GQyP
aYpQZt1m/XJPsp4pm8l/8l1NV6UauG00KdcOQb5nPDfFvlxacRDw5rPSwXg9Z+iQyxJqtuuwAjpn
MXT6w/ILs8S9Dy3fIAJp8Ij4Rd/TqcrbTICNP+eCH0GB0BxVsfy/ZcfdQirOgjVtpc8Dv2iLwAuk
az0a4nOEJZGEt46w9rhl3UcGx2uTAFOeyKXgNw0reJtNh6ZSwmqyZ34pkTrlC63EAoR8YQ2PnbVQ
lswxOA1QCl+CSEw3Gq1bRXYhj7Bj98wmxy44BZVZvqSqRRRWTwZAwnZ4N0xngXlHccAnLJCILjmO
YcoJGO3C3i9i65K6pfnU+cvtzcmKPGEems9DW1p3Y7rY15cHFgNm9C2f8+qFVAkuPfXtcCJJMjh2
tFzJ/PEABOHQga5PR66r+TmgwekFm+9rL1tQeGZM6dFVXwvU2mufYd6+HSDtio5vp+sCHvaJJzDo
tU/HosCI2AzdNixdfbZpgZ8rLM/PzYiWdT27s3mRhZZ5XdguLPQMLO6qo/KRm4LtcC9sSfODsai3
kcsqGCtac7KStBSA0ZD+7CHuA9bUs0rULF5DkVQvjCINgmuiime6bGSwKalOUQCyP/oOdyokkOEB
jFvwpoKKD+x3yxpsBKGwZIQGJ0RmuKU9W88HQ/XeRnmKss9zo+G751In4z8zp88tAaJfpsFjCtVy
IG9opVbhNuJYwZuRFItLsx2KK9jB/UOMvfdbNTjBW1xOqIcl4TRE1fNmcuKx3mmpNLbighUw+HXw
nLhQxYCx2U2wUSUN7k1WxaX+s/38X6HDb4QOOL/dXwKPrr6P/+uZLvg/dQ5//dC/8BzmH4jTedsy
iV3C+BSt/b/wHMr/gwEe8A4AhbTaSYn6G8/hyD/QpnvMM11l2h5jor91Do74g5kca9lk7EBhxS/8
DxTsHwcLnmTEoyS6IUGv/6cBhjm49SBEWB4JDcGYnxahvLaB8129b5W/Hix8EBQ4y7U8poncC6bE
5seZ9NAKuKeeWRyVPcLN5NR0hcjPf0Jr5V3W9ez/uWr/x7n0MiD45wCB6znYQHCtKdwAAE1+nGM0
hm2xgwuuB0keH7KoeFQTmq9X3eTYR0AONCbA1JsPoxtbD7/+sB9nfFxcQlDBbMC3t1hwfrx4bYh2
QtJaHOem677lWQ4YIDMH7xLd1gQSf/afAnQuv/nI/+YW4+Gm7HDxIzAK/zDd7NouYf9T+bHJ0Wyg
LO++DVArGTnEFOKh0P/xBZGpgTFmEZEdacufRCK0ZyurbfxDhOPmQnm8MfXiBMs92/hiB4P7/Ovb
av50X4GHMb61JN4i+nwfaTIEdYk5DKbh0JcTBV2PLsVa5OtiWHmjs9A9IB1eeRlyQQUt9a4eZPFU
VMT+rSM3pYANVavuOo26ctUMsseViG4ee74/fdaW95tVINW/+XtN0+LZRyLg87AvE8SvL3dxEbb/
93+b/6dAtBwy3O4PkgLFeTBySwZMpjKIKbi9vU1eo5KlBRtpPAxtJ80HnkF9Z/j4pCwGMy6sGc8+
5rqSZMkwu14hXGEtgbgsL/LZM4HERzk6Y2GBQymaxZVnoc5d00sBXNJbLdwERElLbrc1ezveh+YV
eHaj2fZKlBc4tSaUwqBxgtiHxzIj+pGvHt1pvaE4JKbZwzeVXDS2RATELuFuYm9I/UMiBuNTgsk3
uKM4b1hytO7QMapWY2Gg2x2Z5ndW6RL9ZsZxMnHc4qh1OxV6vCRkDfMb8F9wQNBNrdX7RtDonOd0
Gtrpxhi76cZPaW+sYVxWz31iVc9zI+yjO0AFXE/DUD17uT3cCIDe+dqvZ7avSST+NjEb+eI1Yror
m4wD7Ds0BRLLdGfUhvkgO17T8RzLF+lLiyJB+9OzW3aAZVzHhAfCgGO6Y+bMJ61SLDt51nJBjkzB
k5WkabPpvVG+gDFgmc1UeEED/6X3+dJmatGnsZ7li2u4010cwt2o7VEiouUQ79HvMLCdtSCK7v5c
qwwsoX9Edjz25zhl8gaTgkMN3k2gNHqo2n07DrBXDKaB0clXTJeOaW3USBSQ1nn05B0r+hQNI3Ca
iv1006W9muglO6wT6I3OS4lj+ZkEBR7+Ovcvfd34T5xjQJM470SNKa1AtyywFc40fP12VU43jEyr
cTO473nQFkSQiVxDbJhlCtVn6OnWrfzItI99lOCuG6vls46On63eDZXv95+8CwiavYfZHvv0xveM
qKXO8sXV+7/pAhDGuRYJ+8YcHQw+622kumEzhr6/699dnNHyeLhUD9WBajoILjgkkbkytGNPeDLB
8XdMj02kYh0D+p5+CRHbVx3DlUquvDzFWF25hVhQGSXT0l2WYAQKYMHaS+fDFMfR7GhbrShPiwh8
Xxcbe9I3k3FTh4YO7irSuzJaR5L+YRH1XXBpzb5+dn2LDHANVwV5cDvHN6M2rPFTy+2P9m1RDPuW
hta4mgW5HbQUCaKDHbIy5CC5z+1DRTNoOy1Y7aCA5+ejNq8JI8T+Wzs71Kv2FR3lfj0M4yHw9YQ/
sZwe3LwvgcEEMV+7oa8cGtDrFi/JZwRk9aaKtLvqiM29NtyoQ5NctyGpuYP80jkpvbPIbkcbVX08
XQzKGA6OV4Yc3YVVZitRzlc4rQg8adk23TxWJxAC7lUlCh9f6uzoS7MYc77wyWhLvNRhvC+qufvm
x1jBaEv0YbxhcfsnDDpTsfFJx/FXplJEmxRtV2xMw3nsiCeBCVi/FNRAVwh0pXOowbgO/MOFAcVg
nSWlU9l+o7Thf2Zfnu54zbGWraCI4gPWYd7S2MP3usW1LMl5eCK5D8WTCj0ybeQwTHfzQofB+GJe
VVSAz7pNJ7gY6fhCpR0+JdJlwyyt9CExRPKJzBgeLGR/NkqgNt7HyraPXuWLaOX7QbHhNVo+uDLf
Qs4oNpignXBn2ugAKDxm4X+a28r8kjeGQVBw5PTekfDA2cb5VLUA/BqT7odr2fbrHA7S3TZFesr8
KrgcjSq8aUBJHEPPRzYa1U9Z17xouAHs/rH51OYYYJKe+wRJnX1eVmZ8wuxmfemNoB/X0A2IE0RS
fo/tNVWbeBiP0u6NYWOPtbnmuSRwNSgbb+eTqgPaw5r63cykNCfbiOqG8KHVQIdhAzijBuCcOXJY
5XZQXJHx7rxmQCz6HTMzPD0y8q3gdVESNqu6roJyN3slTnlA8L2zJlXFuGTmiyZb5WSxzp0MP2sF
hSNmeHWtIlvgCejivTKrJoU6G7TPDKE5i1Sd9C7tkTEWXRq+VkKPmi3DS4fNwsnC5qrxWn3E+uER
rgulCENDkm+MbPGTZwkm+UCyvaXuzKKpe1ZKGwoPRJexLKU+pMimhWZe2VTz5FG5Fnv6O+1osPhr
3C7yL9uRrwa1gP/O7KIDsVKeJkWAGQgsMmg2w2pa7PguxVS+Ca2U/b4Z8IpHA/vgIMO23SPy8i5B
OhrEMpdcOeFlQg6AAs4ECIdnSY51tlfkWB7Khgu/u65nnbDhv2+B6DywwysjXJb+KLLophsLr1j1
0DIuaZEKmPMS8lXTGe23gtzhakUvjBVhzbV8URnvR0SG7NM5vaBmo+uSfh9MScWJQVPX7P/8s8yC
bEOQCQknicAweH0pyM4XddY0h0HTSeoGzr6MzfytOWcM0q3RWtgbvcY/fzbdEI4aHSBSbqy6iq4t
OfBXo8Lns44DlLJN0cRa3TkgrSh8K7dzSsILorDG8zN6YlBqHU6Oe+rTNqlpC0l9HxilfHbpkTAQ
bADxj1UzMZTL+qTllWGGD6Oa6ayUInMvHWbiLfuiWkCrhjhVZGu9dagv91E/EivM38wpJzaU/2RN
0KlX9D55k9d+Zz7YTc3rKWwmqHCNcgCthVO83NGaDtAqk5rXeg/mkxdmw1bFAJFvNEls52Xuc1Zc
1vI1GmZN1UDkoWjERrY0y7ZQrwLxZGKRkQ73iaPlvWvHRn8PQ4l88XU8RmHk3aE38F1eVZU/I0bw
wlrHkFJiIzQfSfgJSnRTYyehEnDcwKcvt7Eg83eN6SxmToDSY3T1gr2gD8FAJwKv4zTRlc14eB0b
kYYXqusN1CH/lCVzdebrr++YW0fHdIiMz+D54hOQuoDcxYhXj/byQ4jpBIaWMnZZP4JM8mp3UwiG
vAhqLxzdBus6t29Djy3dpte/M0VobprZBKUzTfUR13K4CruMtpLDFoOqgoyOZGCgSghqt+rcPH0z
YkfuwOIF5EOUOf2ZGnIOT+C4Zld4I3Txzcj0tT8545F1zcEAnci131XiWuZQygcBvaHV+WHq8Xtx
Ng7uJ7cHac5LdJPUkF0mx7l2ROecJ6svbvm2eS8XU3bizZfvnTwFd0sU1drLXWJls3OfOqACuVXX
QlfhY2W4/XNTWvYVHrekXNuh4AA51XsgZsXGHW7s3Lzj5FdsQeaLN+kG8mTbA/4XkCZ+AgK3UCOc
qoORzN9l7fKFOD2P8E5Ke4w2NGThuHEiGJb5O+rOlYYIyA4SCXYI3lfshh0BQn1tGUfaW3V1btOM
RZovGEqYT6zIeWC6Bt4LcdqNJkYaEQHH7s2vy6il6vihNEarTcEhaSyYtCA+SixRoiQ+b7zqUMn3
Q/8wQV5sloPvr6/zU/UD5wInBb0Myn6QnR9UvSTZdX1Sko6WgRKnjauU+YCzB7kUkAUAf85Surxv
h7++7k+lP9dVaOyRZNKpplL8seqiJM9sYpqrw5Rk7ktn5M2BsTcEk1FF7F9lXug7143Yi+t3IOGv
r/5RY8zFQU9QFfOA80e8C1z/UfORXED3xHTLw0imNeM5r7EevGXXRYvDbv8XcqJqIPgtJ2/sAmzu
73/Cfzt2v+/Y2TQ9/mdr0tKxO3+f4q8/5oNCK+TH/urZmQKbEV+fXOjgLk0klu1fPTtAuWDKUZY6
/0JS/N2zsxU/BCvRRzkLxJl193fPzjb/4LSBG8PGQSispRv0n/TsPjy9AgQ6xiQAMpC5COJ0PjS2
6oThxRgWySWvuli/OCViz1XhqM4Bzuwbhb+yxwaRzyGGtp8bx9LCa9Sg9lDFoRzJ8QXrr781dtjj
sBOVXE8JgYIXU0FWL1RQDpUuNLm5PhRd6KYcOdJs1M69Ae3Jg4Y29JZVUauqJYde6JCtZpvOcxL5
1yI2OnU7wLA07S2HAZRh9zZchW7tMoolKxLYYUw6pWPwkm6ikkbFKSYahZRoRdLHkEs9p8wGZTpF
l6QV1JV3H1kcB8ZkLSjzrK2ZwxLitVPgoXqgM+KaWy+BCQfWqVbd3FOdDJ5Firggyf0iNuOUNBhR
f42MttmputI30soKImH0mPCjrjbmL1WBcOxPjf9/H8DfPYACA8evHsDzC5KJl+LbDy3zP3/oXy1z
mt8OPHm60Q5PFA6Avx8/WuY4AnguIUnTVbVoZ//LGUgzHTMOG+/y3C5Za///6VN/LNYkU7lSOTSD
+b/+g6fvY4sVb6GLfQujIc8hDOgPr5aCFkGTR+l8UKEpZ1wjTnEZTpD16LgO6zCU8jdutQ9PO59X
wM/GDkkjG6/kR5ATUrsISoWrD3RhmlthDMPadcffwcE+vrO4CskMOB4duubmTySbTrZIlWU0HTgV
wzC2pvo2LRuOmhh9t8IYs5XZNlSNdWLctSM87H+sgZs/jx7/9JAxvvhwJPFxxgmaVrbjWXzmn4w5
vWbCqFV3wHbMi3oao3mXKcbYg0O5SKh6c5qSCWqXxhpkriqEiYvwLzZinnVE2mgnSQN7TxfFKb0c
/GF4MoMf0x0YUv5tVmqKN5tgNaq7KmG2LIOWuWLnaf1Wdzq9o+JEPDt5kAOpiqF1uDUqR5IKghh+
3qK4J1MmNDUJA7Vd1zRjCAMVNbgo17aqqwbV2AMyIWoquw9OI52oF6hbsVhjttdvEdvnbiiy4Snr
CXxsk6m4DEyoc00QQ7YcS4sgykCUX6IYti8GT35wnGKqVUakW+xgwZ0/IATfDG21xJqqjhos5Nxl
gklzHHtv4XdgAKpaCyYLRZ0uNQPJqYyuZT0Xl6UD5BjsAlKxSsXNbZkNNpu5AuiTdAoNkhvN5xlk
7oEx/7jBC9mc0t6qb5E4LLGvatqDQ8uOdUcqkml3w1OCdumpTmb3nm/H2s50o7aFhUa6J1Xmqy5x
b4bKZA2NhX6MuqB8Bq3CN1Oz4R7c0ecZGpkF211BqQ2G5lDXkX4b+wpMZcOPaNG0n9wSlnMwhc6x
DinqenSdnxJK5Uvy4/zLPPe4I35Sk3jq5KMBaqGfBS8syLItcXYwwAdriwo1vatcArUoL901eZ7N
VyfgP8OU0+s6TKw5PKDXXN6ifQ22gcfZMzq9d4kKOpYeX65WlNoTkbbRpuWNVkAXwMtZtR6eFF5X
qPuNaW+YQXoHHTdF3xrVVxgVga774fA9FRjYi65Ld4Q4CTYNs/wST/XwRLTQfPbrgV9lR3rPhMpb
kTVFZ4FO0VVA/sTaNWp5bYQkatM/t7auk/jYYCL6EGnKUiQpfPiOoUzvibBwrkOHbyIYfI8GLy38
HMUVlSyKzrcxRbGBsJfX/Rgk6JvheRe4ooLgzoX1+lWC3TgXY6QfLZhse8TIKfybOt0hX+2+iQSY
O2CScYM7GXkPzZZ1G/I9kufBrV6WaFYgA9LghXZzCtgQPR3fhOOWeu+YrH+wAMDLQxWcsjZ9HuHw
4b1p8uvQe0OrRsslJgAvov2eWwRbyC8Cxd4CRuqfQou1ubIYUO4tgWrGcbIvRCMOyG1VhX1NsigX
FcEU8UW5yuh2Qe1U1xWaemrLUV73mvZhEdPJ7ukCfjFom29nhUqpsYLyi82p4yKxDXk/eYtm3kiQ
KsDsLF842rTFOra1gazBTzfvH86L/h9757EkN5Kl61e5NnuUQYvF3YQWqZnMTHIDSypoBxzSgae/
n0f2zC0me0irWY91L6qsihURgItz/vMLNgF+mcaDmhvRb1SWL9dTOHfPsIWxs8CoHhlBwvOxeis+
qTKnp53M7NDXdmAxzlDZ3lMZerrSN3lNFZi91n3IF4qV6AqYGhdssEN50/t2EtrPYRFZhf9prPGy
/Zq1g/sps/DUTg6jswj3kPWLIbakVTFEmOVEx4rN7uA+EOA9ryRu7x+tEApQ7Q8pAX/4qCPNXfwd
69CDZWjbEYR91XM0DeJmqKHW96ywk2sUd73ZGffAMA+GN9y4VVMR9Bd49ws8o5UXQJcmxQnUJMYH
UqLUCNhECXOfY2UXHzvUyVucMobt4M5fshARjzsO3/Dbro6GSL6i6kuP6eInK2ENzVWNNce29EYF
Gznpv1lZJ7dJ1p1VL+MdNkXWSS1FtLGgyq8Jyk6wAE6yGxd8+hoa8jivW0hFfh6ejIJw0qyUApwx
iuWRsVy5sQ0FhdRMvFWVFRjTVGX5IwHFhqDtabp7585rIlAeZhFkWxvI5ZwzM7nu/Hza+SkbVuaV
dc7mWG0H5nloVHmRtjWaRxPW+6EKgKsaHfxcT4a9hrHLthRWvk/NoFnbRmWeJy+LDkNifXCqOIJ9
FDByFID/W5tn/7VrpslfezIyFty/eYf4LfXjwW4yxIvWhMYphsLYQW4Vtjkckyli1FNG5Lp4MVl7
c9x9depp2Cdewp3HBR7uxpRrTqcn4mvrywegAGtl9UW3SyDbYc9RYEwehepziAp2NTmFOguVMEMt
i+JTBDoVrH3lz3v0NVAzA5+5LrLBdB2MrkOF6Mh7qjOYvoPnBMeG89XczBwi6Qr3cLsjeS2ur92y
wxF7iZdtbZv20VZNt3HSlF3VbeEiyZWoWYEQsL1T47fq44KN9rrFZ3cdduIwlRtnNGq40/7y2jAz
ONpztTw2eVMn2NREB7V40bEa4vkuK5xlM8YDkY+4RWH/WVYs92JclRMmNZ3ruPdB5xYUB7M1AAhO
1cpswp00xmrLoHVZMaLT+cxO/hL4CRb/5jxhODaPqyEajR0+YTVM1uq+tAzuchg6xyxz4IG7RMMn
RoIFfphY+zJjxftOnR7DUWGfMsXudR0RfL4qcGBHnxfeWHKZT9pXAfzj4tUOglR9d/FvT7WRe3Tx
dHcn7e9eelhoV25aXOMibh3JFUXEwGSmPZfaHn7AucVdBRfXeFsbyKcXL3ncps3vTVVVJVZ6wlcb
kzHtccE4at1URrvHaNTDOXXI0JhpR3u3T7qvlZP7qLY6d1wY1QoMkz5FkEIOU1p0GRMiAZfV0CCq
Nln+UudWve7LSdcFjbxXqi83kEhEvQ3HKjvjjVYWq5gwz4DlV6XH1hnbq0h2eHGTfoFT+VR72UFh
Q9at86z2bpkMZAdiUZovdgOdDFnOXOh3A1dKl0gAstxDWtiXex1OZTb6s1A0/bcQ3Q1+25NNQINZ
dFw4DafwD1GWMPRmgwke4iP2AIrFqyA2GxzPPc3QSjOG4zTEt0uWGQ8G+Yr83MxJdwMeNMwRYN2s
K4q8FA9DhYFxMywNIYO8JGvhdp4HqsK34ktmtvWYW/jQklyQhxvbIzxzZVUawFPzbG8pQ/0PCt+c
bqULRlBF3Ko2eWqXR6TN4qpsl+Xgmh0gfj1xGLc5w/qqQWmwST1gUPIjauNBJNHwlGHofks8ZbER
nt/cJMvlW0TyxcHcK1vFUupDGS3gD6y+STOMAsoTbKCtO45B8c1p/HrcGEjAubWRxfoJB5EOSeBS
Qzm4Ty0DR/AMHuDKkkYooKW38x4P3/lskg22JXR52iQJd3lNsfUJljYt9qzL38ivPwW9Ko8oGMwV
HAfrMazU/COcm2yvlrhGSZoxEkQHiiE9yDn6MoybjwUuQH9Sjv+7HkJr6umXAjTuOgrp72SL1kYx
kSRGf0gMW57iiMOQcjgQa5nL9h5VF+W9w1R55MV87uY23IhJ8LCH3vtTQ2O9hyB1P6O/CQQtOKBQ
v37+LkNNXhDUvv5A/GGXrv1l8G4Dv7e3CakOp9mlIEwjnmyfQOwMkrrCpM9zDtCVPyexYGEKHN06
Z5zPYmokgagA34xq1MeJinv3++7Lojn+CQ/WXzYEAoNZ40U+1JqfvyyMrSIYDac7GJlW/nUQl+eG
jWZaOa5tA6uOq4gFZo2s+KLvwo3JPaXFZ/Vr3lA3B4iE/uCScLFB+DtIrQlFAeCn/lIBXjTvKFTJ
IFkjkCgOFeGSzhpSHJHh4SCvlskY9207pBuO5mU7Ow4XTzxQQeWNzltJ9TZ1x4JkbVeenNJHFBx7
9TdssYL70E+abdTL5RAbbU34We8Zm98/Ts/6dSEGGBcBXtBUO37wXq/vDQbqznlqD0pyp+G91uRb
+BfzrkbxybMU0yZKneAHxgXjAaOCZGdY9muYN88TMS3bDH/+reFNyWZoqvp6bG330wgh4TpbnOJs
mpXz2XaLVF03SSPGc5umIax1q9iYLkTlDM73HopHfmDm792aFpkXmGlRr5ZQQCggYfwrZz67KdV8
K4dpU+sTxmaS8TAmaN4NSKbo0xPTW9mMenD37Dhjfden7p1qHGwGDjAdnU4jDQUGXkPBv7TAMxSr
Flk0OkddqyuxyHvc2fWZEumyvaCgx0e1W7nYk34gnLrZ2ipubgpcy6/yASXCiGJ9nYzp+KT9MBjF
A9Z9bp2h8E99uQQYmcVTwkPKIBUZquvV1kuK1GSMB4/AODgOPKJ27dnMltwNP0jYT3XsEvsgSQM7
Bv5SJkcM6bJNzEyuOMYU9PHG7HCqWseZb4XjyqPiPoO/dt8YIZDn4E7U9K2ZQgLA4ZVfnIgIK0gO
YaJMFKV8gPCcqHeKfNpp80D3zREbut2zmdNqwkL31p2HXpqogAY6fkvjFqZu82XOB8aSGZPhYaS6
MouJFQnpv9+kwh+e+qz8HLT0j4uCyxBOpUOW2awlqvrZRQXaydOyaF8pLzUe2tx2jhYXx33hEEEV
FymHHjaT5ZFZe/1K4lP96s4WtaFd2vaKbVvsHBKp7uhEoSRKE9/EiabfL0X3LBCUP+Pq5hxNxWnU
695O4Ii5Tpk9Tmt3KRXCnHJiQLgk8L46ZvI5MecraqfgvnLa4cm0cAGAxl6/egRF7zF8mc+NRfe8
acXCDdDXVof7HICSlGVzg8IlYAe7nCZ9LMKNE/Z0RrHr9sG6JrZ9PHSoAq2VsviHvbnIr7XO7Qqr
Bd093eHKy9zlIFLuRNlIUDkbY4OVivQVmlYcl94cAABVtnyZoChcWRMwC96J0VUCOYF5eSCufLKG
9y0X6J4wG29Ntvv4FELvXPXTnO1DjQDhP9rcVAX4UJDRJoeTWH4g1EmWbRYuzafCJ8hYBc0XJDu0
26aXYOrF+LGaUp+MGf6jwtCFs/7WytXy5zCrWRh1qd8ByPjR0ltV6fPdLIppg+Cv+exJCBmqJaZi
lZuTvWWgCDKim9dMmTTwqXLlvQnxb1rXOaXI5S5uRIKtPFjPjCckbHRd9ILrOMiHAFb5dWUwn5cE
lr0aQdcuy9DWTsAsb2ke1GDM124C4uF0s7y/ID7CYflUxMqvfQvkROI1eyzJNSGokoKqDJmdDzEh
cxd4wEgMHoMr6WwBHHn0GshbMuKKiwZAaErTH/hmz9cL202s1ZxQjJAvVkKNAL0yG1U8yMZVeIym
RUSfQkk21Mh95EBiVCp6XnECZwInBX6RCScLEGdhC9b48T5isM88LSlMdPoD2jmcDjVpCZ7lVlTs
mERV3q1NQghuP6bZAnyNHXJu0gQ5wwr5sjguQJnXT/JrkoO4IBGfPwrsyVax3ZZHQ4MrKOA51ujo
ERNppEarylYhpQYS3yXjv1TZgD2QEputY/HxF/zmckkqUikAV0jaI27tu2kuulyGlgW1p6JYkp1Z
7N6WJirUXeMCDYnaih/ITxdXDfyljSQI8gploHypLTA0FGNgaoOulafKSW9Hl04LQQahYa1hd9/q
Mqo/q4RipzVldDUFnLP1lPIIUw9XH1M4vJCiwG27o33adj7lOZ7F0ZVez7LVx3AX1x1WMyWIJGNj
at6i5Y9zic5nnQb/mGrUm7pE3wI0aJ+tkCXhLkP3bZBoV4gsSm4DPFvwy9DrpyAbnFYHMBKK4SbW
6NelvA0jENKkEMVDheUyrCWuST+w7MfL3WD1QMA6IPKW1C6NOwGijobn3gaJgc1sNEWwyIklv5Zz
YT9iGTOuowrdBxlvmAbQDkMAzq3Hxne6VTbwIiMA4uNcmuJqcQZx5dkUsUTr1duU8vBT101ts2sZ
PW2qyeI0Q2r9NE+UyU0BPmfWpQ2bV3DYco69vPEs/RJlU8yxf4EEoUu4x9BGJQInaULgQ/nZcZo0
a9qcYqe9gnayVhQnPc3OJTuwdxxQUBLLiOk2x/ozHqIA1BOYsUPU18HtKZwdH+KdDbi85bJn8VyO
WRXwNECOsEYha/aZrn6GXWNXup/oFChU62D8AWjzEfdatCrLBGQx4gp9G5gcb+nIPipQcT+b/tjQ
4zmsNcOMH9QEXmaXqsqOAsvZ09SUgIj6qGTob2/bwilul9AmOs/PPFAvHC8cGXE/pEAm7MkWdFr0
SKTw+IeRI4PhO0lYak+2OeJ7CjwHfTtNCIKr5ktXtZQcsltICSa3HT5WBuMoEJ/H0eOp4QnlHHFt
ZquMBc+gLyGFiHGSL1QlOVQchT5qBZUmom4ZvOwGKRaH7IQO86muYyrIeZw348ALn8NiuS5sIPXL
31425lzlXDEGNglfvYk7FXtG9ygWeFYK0uWuguyKIrRmQ2dUlUmgsynJyUlu3SZYPEx/s+W68Rc6
simYd6orfgzuUvuIU2lgL0CxVt+7Np3ppKuAWRFht8HXY9gDJPCLJzyO8ukAaRamc5JuFj2J6QFU
toOHQmlVIGM+9THZcpdy9X9HlX8aVVqWbnT+e67AdfY1zZJX8dOo8u0P/aeLqf0Xw7K/B1T816gy
Mv9ymb1EngsTEEbr39U94V9WiBiATgsmgXMhiPzLxdS1/mKir/2u/ksu9A9mle/VEihOLcdxwRJw
nHR/5d+gBwRALTsCyrhIIBeN+NyoQ+vpGjE1BSFpCA+q+iovLGP6mClUEzQPKZrkLkJwEGSYZFgg
e7kDU9rL/WVuGZEQTX1ObG16BLSgSZiiYy73tyd99+tAUHecf2v+EHbwhUMerYnWA5OC9x1pN0CB
axfcqemPH6xUGGsPP+areQxMNrbmqv/+A51QowM/f6RrWgg1kGKF2lvx3WTXyEqnMYY6OeO8eIXE
08jX5WhpJqULRMdQCeb9AX4yeBGcVanWgzsG7gGS3xjvvCS16iPuetRQyxjwVIQf69BQLa0gegtM
v8aj9S7V92VpW/2yd3UAcd5ZEJLIgAaqsoq4JaS2xRJs7akBxA1rfJ614cNuxqMGhMlCXNCLpobS
KkM+KkrjMdm2QQxf8Y1tNEHuCNc+b0Suq74bhl2MMze+S0wEW8Z2cj05BAK1DjOe2SWjbLv0jQXn
tkZAESRkUhI5EU3J9iIKMWHkMjBIE/vRojzE4OhCYepaQCBYdcgK/ImvoewsVFvnolsYJ5iWPor3
9Ja4dfhPF5L1jE+S+tgyYl4g5RrACHaeWt3Zrt3AvlkKXGHw1Zn95sXmMk5PfUsQc5Ag1F4bduCN
D0sruHCd0lbPzcX4y7F7TUXtsB8FRK5VfWwbxq3rsdVxtbFPR02CsGaWNwMeQVuc7xmYqotUCAZ4
nurmB3JL3QqN9YGBE0xbCO8VH674aZh9Qq3etA4T/h0bmfn3qc/4cW12koeE/RRvwXf7vntJmTI2
B3dBHr19Swn2Mq1OzfDOYmrogTZ8mOFDLuuRVC7rnOAtlp4W/UqCGQZ6JDNSiSZ4w+dIEp3EAKM3
4KigArhOsd26N0IT0D5XbF6NsIW0TXjRbzuMIKiiGA+RUegHU7Cpsa8lPDVISGORFtmjk5ofQZ36
GwOjkYCYipiOZPEGhlt5713Pc+I/GWNg3UxjU95ho5+82hiSH7D9csN1ZovgVSTF+Nw4+GrQ8LFk
YaCruxE+T7hO84knXpUxbi628qHSYmofPRlYQ/X3NjaFWKmPActmbAMe75RVfnuLOQaSmM5LDFGu
q0E6eMTOcOAWZ5OzInGWqRTvLnMad/ox5/MATw5TsPxHoyaUJpVJAeqX6IfqhDXSUf+godEB0sz5
eT1lgRHSyiCHAuLStKCKuuRb8WTYXGiw2ZRFU+uQZAI8u5eL3AdqBBsBv3QecGY3tr8vqCPOHtOs
Bi5mR/bwmNMz57Gt7lzHk9inLbMidW7g0RPDy6fgwEBAGcGWBGO/CWaCSIOsg9fWZxTKdvsIS8ow
noyBgJir3m6N9m5WzAlI5nA4fpdqmqOPGXkOxUOM8foBzKaVa3xJneOCSJ205Vlr+RAUXrROOus7
uqRuN6C1h7gM4U3AzGX3NBKqx1vMcqEMXlytBWUQXPWm6FsKx9Vb/LZwa/sxGwym4KEVpv6LKsPB
vs1jinuaMesSIICiIvV1ZHmorQrwZUtydQjipM0/I3QAkFl5A0M7Jw774rnlhLBSxpwEX9xCtBR+
uFKJEUfboExQnb0FfoOc5adO4g5GGdciBMXqRT2HQyyL79DUbFuu3Bn6LwmRo23fIvRi41LVgakc
Y2HjxrAi5cM0j6ntQAfzrADemJElJmP1hfo+S8Ibgf3rizcO5PMu1odgTBTyjKoePkKMMLagmCmS
6UZzzpP06JRRDOchzrDRQFMB196avU0aVN7B6JBfQ5/IpZE9J4g9up3beL7IAbJnnNxKLJYahKZP
HW5Ea6cyP5OnDfUZk7pVMYt+laWTCg9WYSdfyi4OvqvEiRl7tuK2h+KOu6WctwWWk/d+HSSfPWcU
24pLasPkxXnAjUN8tiDKkiJqJjEJ6+hdTAwI7pCcFeugKaSDJqAor7MmKT/aeResIrPr8YDo1coY
Fdb7LRDFWE3NLWKy6spjELsd6OTvOdabz3k0pB9Gt7ybAlPl+1Z27k7OUuFHUov9iPvKh6Tzy49T
5XbJru0FQxguMGyP5IL3S1Ts4PRgDyknZANlEHDsjU79yKXTvAiPcN5NvnRiF2Zm/YyeUT/aCnQm
9L1BrP0AOwoEZA7GJCNE6TjofmQt7golePfBRm+0m0CsbpBcBO4mxXBoZrRCObDRthxn2VX1Pizl
XK7z0qmPQarsXeJZ93lcN3tTpcOm5Te+0LA2E7fU6KP3i61xO1fBcCN7N/5AbJK/N7oFDjf2Kmsj
N1BJzrPv3xgYdpw5sOeDKcR8nAwrOi7o0fACbNt1D7y4lsOMhE10/uOYjcs3E33KGUvV5dyKNir/
ACu/I1NTEsEq5X9wSMG6AT1+BullXTmkG9BOqr5pD4RX4nU0wfAkEYjmnkFffcZPrz38vi56Rz+7
fKrnYZ+kaWEBktufP9WNlzRIJ1QGkhbtEwwQDoamt6kxfv85UPfeVV9BwMAEUS/Vng399ufPwaLX
H7ooiU8uyiLOVBN69AXl81TM0fPPPwx+OIMZCmQog+8eJYHPnZFQBJ7CEuFLrdEYbQi/vgRc/v6j
fi1koQoCFFKLm/hTvVdISzwIG0OZ/snBG+dGAN/tvQkwtcOL7twF4OL/+PMwI4aCbEGchBr3jhxM
diXbtqy800UO93YF4a/KjUH+OtVIl8083t9/pn5cP1fO/DhtTAx/kJf3vlifCSPqSUt2T2BoQOQB
yFZGWRJzAwulDTIQkHMfGdXIX5tGzvXx+y/w6yK96O3xKkbzbnvmux9dC1eaqmRKMAxZe5gmgAJl
TfX5f/Ap6HEiH9U7bMx3q6aM7UnEGNefcPxCDJYB/lx0Y//8U0BDcIRgEMfGe/cpfu/Y0jP4LQzN
EcASkr4G0PsfLBOP7A0YpXQ7ml7683YrZIU4ivH7yY6BJzEoYlGMM8TO7Rz3OCQ0alz+0NL9en5x
pnOG8bNch79698OwmYvnqfTdk1HH/osFlHdazJFSZCjJsxEgqPbK7xaWyO8f6K8nC2qMyNE6FMJA
f9kRCHYzDCE9GzYj8bUxiV/nXktqlhzM+vcf9W9+IosjQHTCVqflf3dYBjCV+KjKBm/TCE+FxmXR
gtXSZcGgnsZPSK+a33/ov/t9fuhiMqEFL54WMvx96j0yBXDSyLdOpS9bsn3xtijNMN3jifDHnX7R
rvy81RnLBp7ruoGO3fxlp6VhG5qcJ6el7YDocqvy8NcJzPIBv9eWLKQSllk8UyYjx6OroNbqbkYJ
I2bnMpSjuagRUzKz+WYBjFF1LgLpY1j4TfmHx/LrwcuYzglswH/bJ+bj3YUiMm/KoIGwwiuHD8pi
QF1tstStMJpiqeURZf3v34T16zlEvi+7iusZJnP4PoIiKcFLYu64kxEa1LoqdOgfejgy30jC4MrU
Gm7We47WWg6l/ASwiXzRySL1IDsbvahMBjT2VEkgf8zr0n98OUTQV0CD2Ay8u/fJAyaGonhNsesv
zhG56eWfrcRwTl3piAyk1PwTjPPL2tRGJOwGoByWKGS7n9emxLSTon9eTjgaETrMTDRfzVKwTJWW
kP7+8f+7D9MqMxOAhqPm/doMF4KBEhnNJ5UodZcL2JTMdkGKPLOhXfz9h/3yqvllIdEfiIX0jfc+
TBulodV0sTmf0AjSWCZZz8piI9Il/v6D7HdkAjJaOS518eDx47Slzc/PkJz5TPmoTKkgWkSBJj3c
sDbCri8+IqVdunOTa1GumzAWSqeU/LWyCRw026W+BmupHtKsACcwJpqldWcxqlwC5L+m4QNlgXo5
O7PU6MdEjPyyn+xkvusF1LXqnx7EPllKJO8S7YCn/y+lUCZg1waYFJ7sBWb6JAYE+VD198k/9qXh
mXlEbPgutitAer94/0CqsftRMTBqTR9dv53z+2WNVaSB794ZV9k/4of69vrbwehyrRFSwNZHl+Ih
XHn3lsRSOZZsPffkS+V+9317PLVuHD1dABE/6EB15FLinamU/YeTzn6/RFw+2XfQOvLJNlROT/N7
/qY4dMu4z/CixcsbDnG1QPsjdxWpBKwjx0ZFEIdfoIcU7masO6u7iRKCzwUa3+xg9zOTYvxw5wfz
onpeCo3XyDbQjcVAFO7qMndpK7/L4Q9a2V3Qz4bgvzRl3iFC/EomZxE69b2HH8YTgT9cdyQJY/nb
t1ZzGvEp7VbMq9SdNykUl11cgPsVAEfxKpNjEmxCSHwEj5panY55ZHU/gTbctH5v7JWb+Xf1bBnL
vg4IxQTFhtlrBhBOr4ClTYEPhjdE+Km2zVVf4FlH7lazQGmZ5UIDvWQnmBLWmjGqN0BysFIJ33mQ
mdeDfZsjJG9nyUXNnrFywKOhsUrr24T/KKC4AasC05ZGg6HQK9O7cVb8dYBnZn3EMgbQG1p4nB7e
PGmEXPiniwz+VXxipwjyEpW6rpENey0ViM5/gJZDqS0wyKRxn1sVFXhBGOqhUUuVIkCuy/qqSOTY
33dOB6xrN4GWrFpVUzzUi8l90Q69JVFn++qhMO3wKvH9ungIGqv7pjqTXwGR1lu+O74Y3OtWWkB0
wVTymiEM8Af56ZjfQHxbPjQWCSzbws7dq1FTRUE0YPTuMqwL1c5vYLVswEFArnrsfPx9WM1YZo1O
zH+RGKvY+gJnVxylygfjg8IbYsF2SJsCRKYgwGyVlg7uTGIavf7BQrSOXzzLJb2jX4X3YM0BBE4D
yfhxHFuyJDYMQo310giIB77NEe4t8DNOmKrQSNjBlAVXLobg0zGFKoAoX1ljdvNm8hM2Q7fsVUkP
u7KzCJQxGUzVPr7ZH4SZxwITaejbN0aGE9ZbHQBmz+qDBgHUkPo1uBmUPohRMUBIKEHbavUj6pf4
DpKTunuD4Lxy4Ms4KaIfN7e91yxO03jbDd3UHN62lW9ztph6VjkFKIpexcWfYfJm69FSFmYmoL1g
83bvag2k77GKZKhnumnp8VztTmPm5EMPX+YMCc1OZUwQ3kYzZH29xp6jC4nEpbYjKtF9raxcI7Et
8PyqyWl/ICSBwF+uv8AfABlTsKvgyguYR6wKM1M5NqSF2Z0rpCnLvmoMJg3l7PJgCfnF7z+P7CS7
74Tki1gm2MmuKe3uQSyWVJ8HFTgG1OrAK4qHsI7UcO2pEglUngt3PSBmmr/jJceSzUNpu/ezheh+
k87Uxg77bwoq7mPGALjcpsAVrBWXaU7BDu6d4JnCvMBlwCOAqXFWZTY28NTjeKnA5g0Cxk9l24HW
zwhJ8cqFTBQCSeQupqmmqYDaQMh7bQizDGM+vd34/zsn/eOclFvlbzXL5rV//T/fRZ/1881r9f3/
/sd11nX6/02T/Twqvfy5/xyVMvREtswGdMhM0RDF/x+VMvSEBuT8pOekuPvXTNQx/8I6ETyDbG0U
l4H3j9TT5DK9u6lpqgk1s+CVOk5Ez/SuX8oCXEgKEh2OOEBgDJtApYInw2bE5xTv0B5ySS+1mJAp
HeWqBZ/EXY1ankdQxvxxQWggV8we4DnWhQ9VKLJmjrNCzwbaDDIDttCUWE3RkiPe5dmwnOMsmIet
IEMEOhBRLlEAVZBvySk2p8Q83FxUXHDItSNBBoezTR3MTBE2+w8MhAJkEZAmwmniGNLUr4tYDC1G
fCJwg31PSJe44mtCwMTftXl1Ivx0waXgR0BFPc7AlNbKT11DYMWAEcbQfrDiZSBsVfslrWZiSYJv
Y+Ik/m6KAsN+Msc4ybbVkCgcwIvU8D6lZoSLmabZ9Om57h2u/NVUyWa6k3aAfzNGTFNyQxZ8Gu7q
YraSB2JnfCpLvPUJTyDINdzZHSLwDd7Ejne0XP1vJnDJghfVFg1ux9KkjoY56q38OcUzKCbRjxCj
KcQEZo0EykpwH6r8GN9FZs7Jlwrn2dsxmOttDY0qw1sVR42VlcjwZRlUb2yFNaktFx0SH3/Z9Pyd
vvPhd+RyvAnC3OzWhZk4h5LK6h7JZL2Z4nh8act7QNxyX7WV1kWE5T6Mdk07Eg0y0mOf24q8ahxv
SDYobBZME8DdH7J6bcxRfD/6s/pYNF7xYuqgx4AcqLXDwG3dZ4X33RAqf6B2VytoMnJDSgG5NdDo
jj1M4k9IHIoV7Lh6kwV4R2ZkhGCsVR4ocsuHtMyL+1EBwIOwEX9EAiCKw8k/dbU4qmh+hH02tpiE
R90XT1PGKmigGwWl6FgkfrU1p74606l3KCPdas0gtvxYj3DVsMVL9zhRRF99ZDmYKMVtfjcyxHtN
Rpw91lACzJtoDpd01eeWcYJoyZ+aTWHet1o8MCEoe3LsEmetxv7kQ7BO1vCTv2b4zTz52hOS6aq7
QxbhHpOiGleUyPBGnel7HBPSsajC2kZENM6IGZP+tV2IzVm4yKx0cldFM51HN/Vuy6Ird864OGg8
k7g+tFyBR8Z+/jVqJesTfjAIbAKBeMqe8ELOC4hzLrbCA3Pax465/i1WfPWB0G6H3KdZ3TAvWw5V
0nj3WEBaN9Bw8xcp0vwTb7TcKzU456FeysMgBBzlxS2/Nknvx+u4TQKCAZzljhC/8arqgXWYi1nj
Ksao6GHOe644w3A4VlDTXodz69wTO+Ojs2JLHErVxsaqCbPsJJBh3A7h0F2NrZM9U7zBnHJwg7pu
ijHDGL2Qj0MxTB+yzG9OzGaJnUYR/Kl25/ypHf3+3Hs1ntUKv7CTuQQLiVRVWt15JgF4zaJIiF3M
hG4gCnetHL0f3tjKPa3M/KxyqHdJRDpN0VSwhONrBp5wnIfUxCOZQa4lkqMdNSQpmPM6jpwVZojD
t0FMFCeFKA8mPfZKkF2/sTDm27eZCHa4FCkE1L78gnhgOJtk3uxKl+AQX7jTfV57CJ2KcMYQa3Du
AQPnFzJ2l6+4pIz3PJD4VlF/Pi/BbJEGMlUb9klPzJHKUYO5+R57Ll9ClKuLj02GqxWvnd1iYIsc
BUXzDSVMv18Qn3TEo5nOVvnKhafa9neIkIW9Hqle0f6OKURNz/6x2GlkQB6NB5byXG8iOAkQT8fr
NK7umrGPbuzaTl7wHCj3SM3kDs48hQ90OfPazwqSc/D3vjFIYbqf1YgVndXN8EZqq9xHpbot5UBC
tsVGBZRO3M0C47ciVLFXx4zi/9TUUMqZQWgbf0dcD7JfRYHDUSNKAeODUseWrvXBnyvPXpu9QaKX
9OevTNwVLtZGiO3S0OX5gZRT+aXwgy3ml4QmqAKIU9b255xJw7HsPDAl7IserTbvHpKgD27o+JgL
wranHZoL+bETJEUoL1gw/26M16YeTG40a3ooMyJuVuye4EpM0/wNEnk+r2lNvIMQ3nQinHvcx501
3ox965xgluspn5RPk+d1d0oHvsxoyvZOptJ7brbmk6/TYcJeBD9mWoxy5fc4FTLC/jYVKtd0xmgV
981uqsPhPKvO2wQWITRGrfNoIh1NE1oFlqFmV46vZCNbJXwK2CyIawwqw9SVT7GOuqnx2D6Gl/wb
T0fhCJeup4tG+Rwmwve3Lv6HX5wkCfdCB+kMOlJnDIUBoZ+YnZS8HUzCoafCn+Q+Kd2+vOldM7rN
yXW4LnRazxB29UnWRn8d91S3uVt4N1MZjMxbxfAc4rGwsi/RPx2ycKT1OhGoSbrwiij3+bvpDOWw
ioaM6zrSMULl1BuPaer5n2RWc/Rc8oZQGJM9xKHd+CvtQL6FE1/DfRXOTWbGgmMJNiNZbTOhNTrQ
KLhkG9GIkHNkRwbsHyut16oOwtcCUHpnZs4rc6/62kiE9yHUuUmWqZyrqY9cjsHZvqNlJiwiFtf6
BTLvc6z90uNFOYtMS+zt6yHs82Ni186qTUV9Vye28zHQSU54ipU7KWtvb1yCnsAE8VbhciyLjDiE
2mmO82J29yh33a992hIXZfXNshmmMfpgeSSdCPBPgghb69G7hE1V+PzfFZcIKntUpFHpXCrAono9
mc5VeAmt8nV+lTQtnGV9dYp6O9zSZcrv+GwReGXMZF/FOgULJlez7nQylojn7q5ZyuaumBt5QIln
HxQa4DXsTWM9XQK2YkjKz9QC9qNyIqKhtcT1R1gZw6dK53PFRfNCDBnRo3l079ioH/h9Zk/dobO9
7EvMV97nKVRZsr/8SwwYo4I25tKWy9esaav/x96Z7caNpVv6iZgguTcnoNEXwZil0CzL9g0hyzbJ
zXlz5tP3R2Vml+2qyjyFPjcNHKASKMNDKIKMzX9Y61vNpl0zw2zCw5yKx9uc+Uh2Y9IfizVjLKI2
3cPNL6769wiy0dee2or3aLKJQ/gGcE9DYKH+AN60uEWJQ5hZtOaa8bwr98OadYZ+aN4bqeUdoXxC
Y7QQz6P8Jx5tjURly01oWkN6Wk/ELQnjGbZvz8K6f3Ly2Aq5s5EDvKevabkmsUEKpnwdWnQKRjY+
uFonmxHc5ck1Z1QMqHH5njCe5OYIvK8UvslOysw+ZJjCL6wNKaYnKtUS/4k5Pg5mHj/DR82fwddi
IibxSIYOFsbbOuuCqyVzqVZiJzphn+6LTYz8EPVdxRNs4w/RKe0HvWwRUaiz6oKgQW9gpT0lZlAd
i/ecO/FH6l3GDN2vN1j+rsGhEmiI5QV+Z9LcI5ITFyn1fEMMpbUNsjQOu7ghXq8cl11M4f9xcf0r
Jd2neA3j60nlY6Ng8S7lucg86zNgFJBpcw6/NXKZKXkFO61lsAkC84itGBOxbdYAwFosrzrBAu+R
mLlGBBIw4W6hFiKrbxDUVx1RgqYwIGpCzpjWmEGyPYpdruJnLovYA0aRYdCCBRU5xY2Rp0j8U3HB
Yf/JWkMMp4E4Q5LT8222RhzWa9ihWmMPc6jRG3+NQmROUJ7jhHjEsvf3SQznEdrKbTIDBhXvaYr+
BEWZsHq9t9iwhssauxhlBDCCYuw2FZmMkC3B2qZKfIJ4Ox2gZtZ4mvxDsIY5TmusI7xdpizcfq+g
/Xao9qInFIjusTai+ezYREMma0jkEBMXCRSNx1xLhGRaExkF1nUJmaeTLSl7MiCrLr4p1+TJIFPz
rWPy5hSxlOkC5c9tag1QqsbS80PXevf7sPZHCM2vI1yEujbsIOlLFLM+/eHPU9QkkjM8Uz89qaKl
rTMmWBWaADGMtTjQHqVZNm81tVTJIxvp+V+/+C/Li1UlbAPAAVzkO1CrVmXyjyPcJS21Oy91erIm
6CSL0ijw0zy5hf6QPfz1S/2yulhfCkcd/63d7z9LEtImVS7STF4KxxjxdvAhEOPPcfXtr1/n3W/7
40x8fSFG8ND+baTQ7q8OzqyaIVFnXnwiJW7eszqUJ7d/J4Wk3V2jMxY0Q5CYKRe9eK29mI56XDB4
GFGyNtdRwk/31z/SP19iFoLsowANrnqFXwH5hDT6SUeXwcyStBNkc/NBqFXBKvOACb0ZJ/pt6geu
swWZ5v21/2d+9LfzI67/D5fpX8yPyvJbW3WvP0+P3v/Wn9MjwF+cVB6yNzb5LMH4evyB5Au832w0
PCaDnlVL/z5Y+gMKJoPfIGYJ3MNoilj9e9wOfwrtxf9LjAZI/3Vq9MO9bgYWIgrb42HGDwjj75dN
p+AZWnQS5lxpGlXS9Dj+XGOLYzGC0GJN9S6TAuvGLIZa78npAZDn1p34Nk05B1nB9x+d8txeMLHI
ALiqUMvLtORSks3Gdm47ttYXvKnxc0G3F6ax67wMGCSpf+LujphPI9qnlXL42iSGR1Ywvwk5dArq
g6GS7Kg7VV55pF8ci8m5z3UnvhiQTLH3t7DUEejY3fWggKA8iyzqvet2WYvBnsB1nsCyEP1X9S7+
t9sJbTVBNnjX98sMumDJ2nkrtCnCxBP9p1Hhnpk2PbSsSyZSfGKNLrx6n3FtH6HiFG4obEKbd3Ue
pc8WENtNjH56CXWqkOdBd8PDiDH70ZW9fWq9LjnYk/qas9fdMbpbaV+cX5sBWehB2enTjAXpzlUo
4I/8EXGBPBEVwI0wUnWlgFCrmTzuOst4pXaaNkDiixHPqseiAQDLrkE6MoUDrqItQrfG2S3IFB4s
M3cuw3sb3PWedeopM1CNLEH0YSl877Fen226m22f2INOGJCuaydf09iZ7HskIXwc8Pjs1gSSkN7M
4zOoh03TT+XZDaqc2D4PI0VfjOm6GYuobuZ5vOr6LvZDI66TnZe6ywMzLgmtMYpR92YWtJdOQ6m2
u/E4E/FcbhEfkY8ro0bt/TmKjqCX7Y/1InC9Lq2xPAW5l0two6OXHiUjvvxDqv2+fI45GAk47NnR
TMZuhCQDzxpt7Wy2J6x8ZUGEdO6k1iuFmY65cuRiOk4e7IpWhjbGzJvFiUDx0oXsKH2sE9rHBz+J
XMKzSBXNshXXmDp6bR4bBk1u0G3YWbX+Jl8MwZzOsYH9LNEAEYTyrDS8p2yCduLYJyaTF2f21WYZ
gXKn1ZrIC6XZyQ64QaMz3c++ZLP5bBjJ/QTyb6N5mX28TB05D/MnyxwJhvPSaB8N8yNqzPbU4I7f
QctQ101hmKfakdm+ixr7DCiz22SsQ3etkWCTk1N6lkiR9pDf4Zjk83IyG76atpvbz8Fsfy47CrHG
ir2NSjpSEzo17Aln7rozRYU6sdX7otlGnZkBx1cNylaCmAtzB8/kgPw6bGXd7yVFU4ZAfZsSOxDG
jcEIogayQA2efHMwj2EnB8yDepUhmUmxyPPTD8EnAgzo5/i6XItoJHz1AZfwI5kFNHFVuqZGO1Eo
tbLu+OnVlXJmgzByhKInDEL9N1x789Ynh3Xv8WU7NvVAcjMLFgLaAO41zakcncdG5A+Zn14vVsRe
szeZlSxPKTOVymyDsxePD22ADXAhbA9Czi6G8KJjNwn9QT63TXPw5+miQC3h2u+nva7zbjdEC/G6
kfzgCmwfI3mUW6vIv+US261djnTOedI/pkZ58RsLen2HDREgA4dg6l9kTV6XKhgzmcQKbWyfbZIJ
xGpXTLoMvWAYubfq1iq5Hu6BvRl9TRL0R1/nb8yQsJkQyXJ2OS7PvUZxPUVC3SRBp449upwt3wrr
npr4flDtzvB5U0tV3kxEMQJ75zTL+sijfFatcVXXtnxI7cY9V3WXhFwwVmJTHXzymuSjabSsw+zp
OwRqQtK9lhV3yhQVnMAcOgjfz/2cil3LsX7fCRol2C3BKVPeQ+Tqe2wU5p5jglBfZYxe2GZu98K5
0m/twYtIpxEdkQl2T0phl3UHkwu1N6umRxHtJA9imoKLnkzcMUZHUG/xCTu8HSLpvp2ngqYaMMak
am9DKuFD65acLsSwRr2p9mB1BD8e+fWJTEEwJDwdmihkFktoneqe8jJz93axRI9jNl5qo9HhZHXq
mWb62QEsscmN4bVdgo8g4k/YLQlLBuQF3y6HLmWPe+yzp8pVh8BWBKQB6LuhC2wONLNvJXFuO1Ia
26PZ2U915GXcwBlK2CLJhyunGc2bxBIPfVBf523ygTkCjn5AH2Yl5w0n7c41gs/EKSPdl06YrWdp
bfh3fisOLUEzDxOXrtjUQwwxyV38z1kUWx9zx3e3Wnh81QyaJtsbyAQcdkOTnVFXdHtnaOwrDUJs
0wx1iu0iIKw3m3P/kE/9ckqq7tjV6jykUXbAeZoSqGHUtJ4G8ZlZHi5R4G1IdQmQFchevkmD64VB
3PBvmHzI+6RYzdGebi7Ql4xwHgdCXZWTfKknV4aj3V9PacMzYcyfLTkcS/hZwbDwYFVBsLN19zig
o2uIWngbpvIY+PNH5WX5buD9YDypslA6Xno1zGAgdGHtJQwUO4yJqWS0J3O4FqTobHu2+FdO6sT7
2RDzpu1j8YkU8ZokFSsrNwbi/pq8H06moRDlXWwMrCMqDb6g47lWw3E8zpWjmPhaTGz6ur+24Qzg
ErJZfvcmGCJhPCfGuD6egZdUbkAECpMx07M/YPYpb824HiaiJ3IJZmteVP9QKsM/BW22nKdBPMvJ
rL8YejDiY1Tgrdk73ohdW+TWqDeS7dtw5Dlr75jOvhXGcGclXhp2cuweWqe8G0vDQIBg3K/RILfZ
lL6swXj7fnIZ1i3ui9/K/GlKSeo0ME8hfBuIWsybzxyv8jhac/SqFkvv8NHpkyCDeKeqITm4WJs3
vl9nYZFJ3mw7fFpDx3ckGhqXGLfbhxrIIDGSrf/d7UHT9dhANk4i8tfK9+ZHbyQNOev9TyJz6Jj9
wvuABTvdGkQrh7aXqCdgDSZ+HMR3gUfGoBBTtZ3k+iXigqkNqDGM4vgn+F7z48VswHeF+kqqxpfZ
NLyHICiHF9EOZJb3yQ2maGc7r1HWnqotYCOplgmiCi03tanzq3ZZKszzPZm2bRlfLDs/dhm5A0Bf
MBr3QfWAuYa5L0br/h6un39cPLd5MZbgWDE5fhraWO6tICV/NoAhdg3V8muT+W+czowAsbxu0QD0
z6myrtxSBIc60PPWocXaRbXLAwJxxrazYQ4kjo18h5myjVNH4OayneZaWS3RDF07XxeS8d1YWRPE
ruYtjwsr7CeCe+7qerAeOSBbDIe9yH2myGNCqjOJW3tZyIyHV2uUnxqk71exOzt7IrvTD+aoBZkS
fu4z/JazeCwSYX1BkON+kWkJt27pYqbPCSG7yC536KayvR1wWC4otCmAh7PXLwbgAHNbCvs2olER
fG9LDekVNsq2oPIIE4YqcRISZI+u7Urjsdmz7oofAyIJNGPKPAiLcvigg+XkEiOEDNo9NLjHtwV6
610POQBzUwUxfnKY3kjib7U8O0qyGkAJsc2rSkEO6T8PnexCe6n7TQkHd+vkVcTSrlmT5ivYtSXW
/6gmd5MJ+VFgVNkkWg3n0hx3kRY3KlECm5mrD3nNjIv4MGyoHXrlzAuwKSb7fGj0g04GeTCtL32e
UDDhp9mpInpGtUS8R2NvI0OKLZyNets6mrGcYlTizuXOa/LjUnLfFdDeNgizrbBi60z8w0Ck79Rw
nLDfxYA7MP5inrdkyWdWykStNMHe9PmI4eQ8TxU8Oc8McJalxdXopvNWWT4mzInSkNkmYK/Yq3km
5tWpquRDgDnpwDLtLS/7Z1xZAFNd8kgL+hS7c3Dj46MFLNdta0nykoCGfjH0NIB3YNeNaLslPqoo
nqeuRYADzwEkiSERN2vYRxXeogRB/sZWFcqsYnlmK4CjDp9fmFZRyrjT2lqTt7BB5i6fcpd9kmRJ
OfnRs2fl103Syxstgy7sm/I7xS+ohaTdWWoh1MnIbC7pgFW2TfZL3hfPWqp0m8s+ZsdcBsxRKXbs
xnfY0qv8AsTVJi8mK/aByTrN9aMvZqtjJpiTe0jYo9w3M1baoHWtcM49qh6rhsteq5tymvsb26zC
omrGcGn1qrkx5xuiIM4G0xICVisB4HHAwBF44zWuga8V/QbUw0+2v7zGtUuWT9uz8OQxTBQazqzl
FPnZsMPVeMiT74bfEAbttiZ5pqo+Npm+a1IBWDLheEwaP2QlZe7rmvYWM6Y4wBA+2BVDVaHUFXgy
HqDKPJuZ/wzvQGxEurxOXv8W9TFJ0Rn3TyXu++7iVRF766UD+FDGnw0D4FIPyQOkBAkvwrteAv+j
z15SB0F1yHg4kljkA9MF1LExStO6lrK+VyPVmdEqM+z6BcwhI3jzJovIRYc8dQfjb/A3WTEtPBJU
xNvlSdBgXamT/ez77UlzB3+edfJNZCP3SDTOm0QQhLgZJeROyCrFp5zUomqXplZxwyOLwe9UiZwC
r9Le1k50eT9iyz0OxtQQWe9mDFSNmOmtDWwqrDJMA/ZoEWmHeI4mp26ex97PEcolw4mqOjsFXlIe
ZFCSGjYv8dVo9u5el/3TrKE4NlVwSz6cuitTw/rupG1/tSSpe66FT6xgPq9pv0zknFHqJ1my/CSi
4pUeXl1IOabBj00yFeMBQkgVXwsUX2GPeOeC5FDummWaDoIopy1h4dV+gHy871DFbjVQrkiUeAZL
Idc8JpqqBgFN2nbxltmGgTzaBFDcY0+vldjZSR7dutjMj14+f4EQG2wK28P0nfOJUdReyj4vj1rN
J0cP2F7H4Qb7JmVFm2BkzoLPMM3TbeN7+IaLhN1bzSJHUldux4x/vg1G5Gg0We5EuUfXv5c2K9du
skM0uGpP+kB+om48eUWJ0z8vhj3HlbPjNJ+59E65Y3l1UEl9SzPlP/TKkAdaYSYuYlKfiEAMVmSV
mV14VPMUGukWbuY2uCrb0mdZrgCQRZ6z6TNCFpBMbirLbq68uTWRL+Tpsc2kFWpdI6/pWvOKHUqH
kEN8bxYwvtj4NmtvYS/pjcXpvpsgbd0pzWVEcoR1IQPBnedjaOBK3LgEsG0zeABXo1R3qY05NquK
S+x6Hyo/aA/U1yQm1tz+7TTtS8s8xCPzDsKi6GWcZF7Jl/xTfo/pOu2+LVWNE7W7zOg/2XBEKCQF
nvKGPssWxPZBvdmMXcLbg6sDTSfEm86p7JjRMalyeAJZ7VC0zOeRb2rYrzRMs+84Ix1Lw+0dvgye
Yh3inHzZ3EEYYyHezjYLLZQ1dfehjoYSsOy0o9XiTkYlGnZDO274Npg3i9XbBxYRjFEWHrpoBnH9
W2gu2A0rkh4GNwuBXpYBjc5SvjTSYGwyjiPaIzSKnJ0P9hzPvCNSpjN3pPPyxzDWtIOdYbJmBaTE
RGBrRel4TgBMEh1dfim7KrhXscGF9J1DMzbJFsfq8owj585bAhDQtWWDyjL3Xet4G6m1ckMKZQOe
mjeDqvfUUxEl33yruWkX+yrz3VfEcKgqXzurOPSd/12vvB7TT2c0S4sKSYHbNqoMLVWr7dIM3+sO
PVRuZJ+Txkh2zSodZVkfZnZVMVTxmZUsKoi3ZcksILEQ6nBqfVaVutMJB3TY9tqdwprYhVs4Q/bZ
oKYnzTvOiQUdaMqHZtb8IZ7kABPAjpp1g1ptKvU26Tx8Ie5VDQAZOk/oqgnt70Ra154pDg6uvHc2
2WJ5DU/ouemvcSTog4RVHGxAbOhTmjcIaDnV2CK1lnYKSuMmwRNORd49GdItWHv6uIX3mtWiDgUS
7TUZaOZbyDavT/dKBlYDtI7PyCFojmQqYzavexAqX4j487IOjD77Md3/vg76757XH75Vqwyy/V/r
P/xGccE5l3T/++dftr//Ov5WrdPvn36xe1dS3vff9Pzwre1z/urvEcfrn/yv/uYfesy/mcTj+Vnn
1v+eePPhG2F6ZffjHP6Pv/PHHN6zfpMwTdnfmxauKjSb/3cO7zFRZ9uD+E5arvnzHN5Z46xtJjQe
TiC2a/8Qd0qb3I4ArwbYFd8y8Qf+J+Ecv2y2bKSdyESxSa/QG4A36+//4IPwraFfUrb0R57RTATh
Ym5UjMz+h8/kv7An9F2LFRJOZX8NJ8H5+vOrRD2jAlHFbM9VCTJqwP+78SdI8iWek7sCDfkJWgtm
hgq0yt8EIP+6Z6CuwLoFGJ6EDFYOfNg/vzguZfoZouWOMWsCmMyaEfwwkfZcsCV9UBbMxTgo6mDT
lqnYtsucfpsMNIM7V7sCoP8K28CAdugGPw8FSBui+YiIaH0FYkflbGC7WYOBi+Pl0rceKkI3H7d/
/QH+yzfBfjzAS2viB/p1MWhqWRNkR0tJMWHvJlktex4r8pR64/zcCLIOIisDmWMQCheiUqk/jQHs
ZqeK18AO7HJ3CCumu6qlNzOHJT3wMIYe6qP5mwLQcf4wWk9F2nf7GYIXZd8Kavvr9/Drvna9Dhj8
Ams1gXnur862Voq+x8AQELKEXQHbJ1BHvC4Hr1Lf//qV1s3vD5ul9yvu+6bAMUvo0z/5/h0oNUVt
8UrvgNG5W6lgrt+c2eE091Am/85G98uX6P31sDH6cjXjs81aN10/fIlsixjbwsh5vTjV95woAGP6
OPgbq+y/+Pykaa3LOYyS+MZ/2ZcFmuMiR8d21PhzDwytv9ciSI9Z+3cZ3PavO1+uFFAdk4NpPRf+
6VBQMYa0kXsQnATMysWDMJkE3DPzmnI8F4JVv5UweK6qLnuYVx4myQwZ01QktElfLlfAOJp7Pbur
0HqAZkkkK1aZwRLLMV55DBW5mYeUe/MZN1M5h4KBn7GJ2dEwtIp5kakmcMLybao+1j0vo7ukx7++
R353tP10l4AbXl2dMKcBFwSO9/NVi6jGYNLo6TgqYW2KuAInF0fticFthiC7xVstqu9Tro2tA2wE
7Z+njiRB90B36w4up9Y3NXXgCi5BuoKR/8UiAPrGCWb52cOt9ULe4U5bo/1oBcWqEh5zClg3yp9s
M0PEzAZzy2p9ekZeYm9LSFKHjMxcNcSfOc6yo9s5Dq4c2znCFCH1zg2SY1FHKOJR2BxJLWM8Q7e/
S2xpHVpR+U8EEqoTLqxiW1pN0m3gwbwlPHjCAkLESdbLcFszGWw2w+LJ68LHPzuAIN3Vg00KAOuW
0O1d2vfOitH96ir70BHnQTYEaodiNm6doEbVOM/MKfKk28VZJw5OJBXCezdBA5PV7tbwFnnPMM98
wmFUvLA+yb7XCOsmnDTBTGwESjjYpZUpNhiIpo+eX2IAKGz9Lu8/qVlN1wtjsVuXPNBt56drOluR
jrd9VzZfSvZsr7hykfUGKkyi7JuRGf6FWamxZUQa7wxPn4vC5ad2rQajVnCaBqO8qaKanmYiEASy
K0MKJEcHevzr9fPcVjlyN8yrxqatRvZDhfjkJHBX5JSYq/66uJZRPT8bedbh7ynM5cbq1+xclomw
V3m+hDRLxAlVgX/qFyledeS2d4rPqTx1RLWEbMXEUyb3ZVJzRwxgbvpGiNeq0dWegA9jK+qJCAwc
E/q5nNmHVBlSZGLP1wakio/j3O+TRNzbEZhrzrbh1BHOxHwDfRbKQvur0Fxz7Vr1/azh2kT0KQZE
UJRDeb/to0xD9UWYqE0CYW3gIGYsmdYEU/xYqvjCGO1zMs3mMek68yGylnmntPsyd9mrDY9oy7hH
oYCD74Xs2SesWVvX3tSP59IBNstkYQoLk2ikHuDPBjQnyj1cDRxRxC9ba68oiZa8Mvw4OGTUyCHd
YfSJycDMD4PNPbEzMrczQWUOcHXg5hoAc/EYyvYpet9yq8BXb/vYtQ+6ZbnkLIyVOjSEbEOdGfpY
a973aUsiUzmDZdmYtqpvl2pNELVaq7maZ0ueEjJPj5ZIzaNX8XVxjZmE1E3QAALqd/ZoJxuoLVjY
uoSVjqnKNz3I+KOKrP7r6kX9KAY9ngvfH07ZwHZ2iGt5rRlvHNhaRGjxSI3oUbPdGnNGS5SDCRPw
gLzWOpVECyzN1mrQ6BUmQeKTsUzPcjDLvTDt5GQyodrJnLgHNffRJhCEnlpuU16n02qQNkmKdSp+
CYgrq0kanJpzUKOmclH5oh6FJf+OwI0UkUFDp8fqhojBfBvVFAXLAGVXrwzc2i78bRrz5HgPZbDN
npSyATwy71ifPRfOPgTYjEGLCei4M9uXJRjlLfQB8wYBd0Mub9TBRTbrivQkBYg6yM2FvbrSb4k3
xXt6ao9AhK5k5Qrx1jDXOLKKBGTAzFQnKwO4WjMb3DiAah0x2WxwtxGABeole8hj2Xx8T65AejuS
T0xdaDgsgvMMrPYoSVWqV+Z61bVkF6VIHhZcMcdcAWdTmjfZ1JRfLp3/eQlAW8+zqG9EQsaNt/K0
5xFKUOgKJI3AXsDZazDFDOOT22CN7nIw/e7eoc3SkfHt4tURI0e5rKE1Qd6+4BeFp6zBio0ZyUuH
YSBTODLw12w6QYpP2GXK2YkA04W15jyxPEwPMH9IewC8FgYeM29qFfDKERse6kh9HlzuV0sk5G90
w/AhBVm/ExUhDGrOSTuhtrEPllk0B6INnKtOE2sx8wLJe6z3Zok8/I/OnDifyS9CNwDBuXtA/cn/
y+L+QZvE3Os18B66wVWbEa3jDU1Fhpq9jEhlTHHlTCasVA4FCzn9zSAa5mJJM50KKK+4dlSyr0SU
rAzGJysy8ER3XbpxMmKQvdS801EZDExlY4wM9TAnBz5+L3tjytck1+xbmoG72SHjeCr7edPBqWWV
aJM9HESFU3OyzgjZS1Ygyc002lOxnN4f7//drSjAUl211ffu5+bzvaH8R2f6/1HDCsbIJ6nw3zes
F7rV1/IX4dj73/mjYcVz+BueeKJ4AfaY4Fixxv+Z5Wq5BE0yJATCaoHtWLuUfwjHTNPktygL2eQg
Bv2HcEz+JuAq4cWwTRA9NLv/UcO6Nsw/VvcgW0w6Cf4nOMyhuPzSz9UM9Ag5mwExMxi3mPEUzE0h
NTgh9VY2c75nomRCF8MfXpmIFwL8jDBnBvG1jZAsYLwrbJDS5nq3J0vDcA7Hhvu2kIayo+3xJdur
er6uaEjzl3SRzXXVLuZXRfYwsSx9NvUbejRvzYobBnFIDbd6RtTiIb5qgmE4sz3T40Uj7t0l2MIx
fjFARrDkEk2EwjS0+ogjfTauTbLQ0w0QTvKZVLnYW4ZKn4fehvnHqPckCZmew1n51jfYHUyNZlCW
+8BH67nDtMgzXrpJeskBC5zwR3hHQ/f6NFSFYuaTltP90BgHW/UUOHbwMhJhcUiMvGPTFFfrT8U6
+WVyWkqfXrDqhs6YBBYusnWna1nMhK2o2/YUR+ylwGPwbbZKVKbo43WL3jliiLXhyvMpm0tvMUZN
nTOpJu1dW4/KvRotz3njE4Go3wYq0k+LWy8nWIqtIa88HU8ZVQa5lHIkNeig/Toh3GuyxwtoaqKh
8nXIbVk8JVEkFAN5jzJJOnFUmGNAdKD7qIfeu8K3CDluCXnSWzbexSTrFaPtINbA605WgTpjwC4S
KHQ5rHbgoLzTAzyv5pGIIHwQtvXQtoBZ2acZ09eg9Gr1PWCt+n0memcUN3bZOoX16LGk3LtdumIe
AAx4H+sR5B52qWC4JjUrO7vs9/mgdBYlLJJ6dUpZNoidzrN7y6r0zkxR50RJNt62HPEbM00VtyXb
lu1cZzHQVss6+yqriPoylz1ZS9lhnTNYaT09dG4vyeAwcnubrgU0NXkXn32/82QoBZ92aCs/Artn
MqbNxeycisnU+yVY2tfKrvM3u2ssgTa8dVmONKsv0Y98doJQ/BE1tYF1bgU7eSniHCk8u+ijLPvP
iZJDFy6VdO4MPkEHpUYdf461NK9iJYs9ykjjMAiJso6Xu+AKrSkvrOm+JNNvXa756lZakcdc0h/7
TUbfc7WKWphN42zdAjEqTwO5DzdpFynWel0uryFZLOcSdwYTWRO/Tp+88jMi2DNRafR5fOMmLX6N
XrrXsM1AyU5Z9DnRSbAHFzsc2JPIXdZk5bm3vPoZwsYNiXXO/Xpn3+KPNbeeKZjtNNZlUcyaIdd3
oS9qBycWqyQ+gdr8XlmzeVs5WfwxrlPYhI0EZzlk+bHNmQLPqRsflBqyA2wzkucbsp3tEXpI7erg
MZYGdlw6+Gsigj4stnlbCoXGEfXCdbYMDiL1xjgq1Y70h8QKbBS1PloWYX8qnBntVg/4Fll3booH
F2QivsJWfDc8n31zx6exzxbVnfouf4MfFCACxRG6Nfq5CTbZ4MrHWoxTgkxiqN6kP8dPbMNjE9+1
dr6w3iVJAe0i/0ZtnLBzQt8E4bxpehIFRhPVRzahP/SVUkRiwuIQZewfJ8elYSM3x9/0Lnugzokt
bvS+S6+sIOmfKCAZtfP5PLVTc89tjSLCngnkTEBQZ1FwNICxM/ATjXf2tQHKkpwp/+vklsldkPvp
cYiq8itVRbDNTZC0mxo2gbubK0nYnWkR1KMeqCD8E1LgaZtxdz9apJAVGIhmGxmNiChOWC6YCvL2
5CA39LwmvVGwpTZ488TnKo9HZps96uLRkmpLxel8cvwxgNVRLw/VhDRDenp8YcuMdUGo6mLndQb3
ypveCHJD9GSL7nvM5hLPSUM8X560kFZs8dFG3Xe7WGlwO5DsczeXTrW3cgTGNpuqq8gYzUdsQksW
4j7Kmn1VtfGurRrzFf6G3sqprx4Igag69E0JemCwIBuJl+Y76yvzWA6l90nY3WJsF26t3cKREybd
PLgbUh3GbUlBffJH2lnPH9yL3VCJ8o0UGIQs+zluMKP6o5Ocq0DXd43FBqtrzIFPNkjmb+mMRspB
8qXCxo4IaTXnHAAJo7MwmuABW0RXnRY9z30o7eYbsbxih9OCZtyxqwsaOVpC0ehrAMfjfe4ZOzyH
waVBV5lu0BImEbkLRnZJTIvex27U57wdCKZo8/ri1T5a09FqUZaQMfsgyfE7Dj5Gz2qKUomPQZJY
QNbIrR7q7KXA8vcS+6W+Y78ZkSYRpVf9BG81wej+bGk57xKzUoeZfccuYtyHR7WEVSt5t/j5cFB1
pzJfBoSEXv/MvAvfdCrbcmvgJwxdRxIiYibmXYN5Xuw8P6rO5WggGCmycb5y1FxkYaoJb/ArKfgc
u/GjnFhUOgMqSlSDSIoRAi5nK7XcN5t/3wirqEzvgB6OrH/M4GVeHKR7cuFB75OHvWbwtOkeT6x7
7QGJeCKalRreAItFlnvkp3Lrj9N131R6j/Mc6uv/FMfvO6G/2eYwIF1DBf59cXzz7Yt+bbOfq+Pf
/9If1XHg/CYsWH4/hhT8WR2vhbNDzez6wgneVzZ/FsfiN2pmPBeuhxCEWG0G1n+6Ksz/pBhmH/RL
McwWiFpTCrD/gjtV/lIM56I3TEI8hmtRLMGQXJaMMTF3kSB3fC6vQYnLGbs6JMkElyd6kw2ZjeOT
42v31C5d9JgXfrQwZRD2RVvKvbV1615PAG3QwUOlgq6TU07ZQiPbXNL+o2yLAva916jtYAf9PmBC
d2PD7eNk1DESqoGwa+Z9bYhmVdx0JDCSC242e3Pwi7ssM8u7bhz7h6B0Wa8Dz88+oNEfzyuSt99M
8FA/muS5fujNxIACBS/nIU/84kHb3QeXEJIT2WMTshovvnMJrlpTfvTDyofe/x/2zmRJbiPbtr9S
dueQwR394E4C0WffZ3ICSyol9I3D0X/9W0hJdSlKRr2a14RmlBgRCATgOH7O3mvjPXVvloiIM2O0
unPeUBVOQOoxdYhpZydEyG5SaA2PPZLXd88r1THVdRRv7AVekOIpfguoMnlR5AvPIQtKs7XiQe6D
xKP6c1Ry70xuthtMe+BeNavpso1HnvJKP2HSg8FDAYqw1qaiDE2rWR6rrs9DU0xf84kY9o015CwC
xpBeqrTKcpRojv5CjAElgOI3fCryrLz2xyHZG12ynNvSZpqeUPNvi8H3VjwRs5ssMtJbGejsaBTx
DbKNbI9HhZTGxGEITpv7aI415URS9ZckMKXogkuXSC5I6Q+sjP0+B58VdiiEb3z0ZscZP9uVp8zx
kgVxPuJJs96BqNRnlJPdg+uTZMMyaOS7SjbIc+k1+iciY/sr0EbmXgnP2IJVru6MzrQeutnu3rAV
Fb/OeBcf5dCnW5cN0E2pHePaIps3dszulXPVzCF+soAl1y9frTYd9sJvqm3FWg1+JIepZzoGbpB2
+lCj1jd4n8GLTd0UBsS1qU3GhYMRHnLHz2uEXRuqlob3xlgsCPkTArydTXVxV+mBJp8bqA5Ia7ls
SrNGswLSEZ2d/T7Iwb/45AszdGmu7VbEYU+/jVJ8AZCv42lPwlcw7QaK38tmAXpVxI1/5BFa/JJV
cXZrNvhY0zxebnIs2c0mcyLjZ0RX9HKjWAtCv0YXdTeOwv6iSl2P9StJzin7SlraUbZdCU2v6J3M
l3ai7e0GublLbN1fpV7jgF5p1HBHntTyRuabdHCyNtMFKTvxIwlAzo0PJoZtU0w7yqtuUxDm97Aa
5C53rA4X9rAgTBCi8tb2ISCrhBSBras7L99ohL/jJvVdHtJZFp2YO7YnZ+bhvMFWgPKKCoBdLh7s
8pllpKGugfxRxcrcDX3p7FKjMa/oLmHEBQLShJRb/q7FmXRTxmV80ya2JOLWtb4UaRHAoEM6+KKj
xMPU7Pfzg+vmVhw29Ox3SyaSI/Vlee6XAU5LaXhjFA4kuA974thNwPpwatHaVnl5baA5e/ZEpRqU
EnT0Q1upiJUkxRi/lPVHwUxrrVHL6cpavJKnfO6kdPzmwXiOB62DXcZ8NaJlEE8wREVWh6DslNxP
aCvQv/vNdCcLU7y0Oqr6EPFL26h94daOOV0JZK0TOB0rLnFk7qlM4jIgTXd2/ZgeZq/NhwhVzuw+
xV7ZdPedlfQDVhGwwdV5aST+orDzcWc0W3uQ+fjQZlPs/0wUZMR+LvEKc3SeSiBcytv5DfLJvdH3
XfYx0+YQOUAd0bY8uHi4/bdJ9k91AP1Npqs/qgOG948/VwG/veSPHpngUc9kFDUDFQUY4f8zV4p1
rv3Hc1/y3PcsNAfSJvIUINe/n/sWAg86WYwgmRrLz5LgDxXL73oKBDC/qVr+Rl8BEuy7OsBF2cDH
MHxGaoJRfB2JfzOCTjp7Gqq2sa68SHukrtkOuyWBpclZCpLGk1Iphqr12RWBEijrFOL3BU0+4Mji
0EutLhlh9PKVtJn8uvaKNrlQ+AtwrzWKZaOnyH62Bnt47fKy3XbxzHrSAC0Og8Hncdh0GaIuN6mG
Qz/O4r4nAPWtGqLhZoH3OJHfVq37/6X1cDeCotin6M6PHlMr2ur50G+8Zu4OLujIetMkPNBCopPZ
qRkzKWz2PHvuPpnAZR1xTi/9luAQ82vWA6jYIM3MPxSkiJs0doYS6Vo53UQR+6x1+sl3L5sSqBRJ
MLl3qufWprUiehpO3Kv8X0vjPThD1p5hUzlqPpGxgl+jLOcJ1hcHCPs0Wgxmc4pQ3TuJTPYusLP4
fsny4UYVOO8zJI5bKLIU95Guh0M2tt6xDIpKhRk6jfgIYQ/Omd/n7DjsFovZlZXLp65pOm9pAGiZ
daeOkXDS/lBGEkHuAQc9k2CvBcNtbqesbCszzCt/umbYUFYCwclgnGwt6p7Ncqywm2Su7VdVTq5m
YRQstk1ha+t+IBpw09JLxZblpNEwXedqsANCQoq0DYAGIE7fs+z5zO4QCLkx/qYki+iTzMaeXbnQ
Y+jozqLrR4vA6y419Uuy5TngevXR1KOILmSLKnWrbD2sFw5ReQv8C0hOUzaS5lG6ZPGdu67vG/Oa
jPCsszCYaj2MLLj5KDHpvsY0NOXyxuI6V+0HKZJdieaN6Jciuvvvgvf/tfFZKbs/XvDGfx3fywZ8
RPvLt2K2Tz4v/+Fdd//7P4Zn/uTCAfy0k0tW0N93Pp78yUFGIQEErGR8JF7/twSyX6JdD5mP4Ai2
TWs3/4+tj1yT2/jnuNR5eErT+k+2Qn/R4LC1sphakNvGUbAH+/MCiGx1AmPH5UcgFfi4hZaVdOPn
b07K36yzf5HgrB8CJRnVHN/zL7T6rh6MBo45AZQ5sNbJ0wuBN4MXQvrqdj/+KB4N3045bBzFrGUr
bMI2PdP5XlNUl5RgWYxgZhpSAnGKlM6pRBQt1sZXATz7WGK2IC/esYl7hej344//y+lEqot8Coik
EPxo3z9PMA/6zuhKiD/V+ChL78UHS/Tjj1gfSX/W3/ARDlMm+PhsJNzv9EyoMObejIQ6OmJ8nBzr
mS50HfZMuJgnqF9+/GEozf76cbZk2mnDuKYxanIhfvuEtGIF84je59EeyYlH1SEa0m+N8pw7VJ8F
llw7GhXW/Vh1Jk1AzAgAwQMUSWXe8sxjq0hjS8ZU9UnGEAGvUkB2Wj0ESMWLIq43FJhZtZFKkJxT
kvjbsos+oaO3vspsPFCAdoC11gy6tjPlM8p3WL5z0Jdb/IPWNQQE+pHIILa9OU/PMxOTSxrNY7yx
2FbSzVJB+ehCG3ohfbneBGULES6unRunI//VdRiCDTZeI4KlYtB8yCypT6MtZDAFzt1Re5Sey4kK
+gph/rC3yvJX2yvu69T+mQHLHRPmkhGLX54bc/oSQ5PjIzKXUHXes4StsM2bRR1y5cBfq8TW0dn4
C113dfJIvG/QejGZYMphSyQqbEHd6wnVJRAyNzrzTHv2DBGdM/QBIW221QY6gFs2gseJUfl2FlkG
CVPFj52LH7732TcHQ0zaVIwfZ4wGopCLaJeRT3TFNCbsExTykQ8BwIlRD6BcMLp5rcXjACxkhpk6
JVXtUXmEViQUX6H0QSE3ZNhBm2gEg5xqalv3ya484yXJh/aGxGDexwc1/liLnIlRm/ZHqkhaBm0L
+VoC4L2IStVe1YXpkNSNIAFiEJdIqbJbVRMOm42V2A1zL/dDWpjPdo18aR6YVBlJKvu3HhEFG0xz
FpfEpsWPaUIjuUprwey+JKlJuSvJMl0jkwzm5GSnt3fNQtOzbPVlFMzWGzyr7tHGZ3dE0i6uxGS5
x7LiWkAYnu6RR02HCulSQqufcWOKHyrzrOlo6zS4M904OxhW014tsVHfIlDZSt3PV0AsGxUGTWHu
2zFTb7XrsLEGnkg7Y3LI9w7s/gL2FpHLS+Lepp7eR5EF6D7qPLEJRPyFVPYE37LzMg3x2S6jtc4c
75o5f2KGRqNkyIyDjYnvArBRTrIX+p6hj8c78ubEQa6CHEHYwHHGJHVyGo1c51O5Y8ZOfVN+6nn6
mKEz+XSxeWdFan7Xq/SH0DraW3FmXHQxwiBrCvAYFOwTsbZAZwaE5m2VuaqJ4k9lUQBfMqxXuVG0
Co+mVYLk510VRqssKY6i8WJi7BESTUfTdpUv0TuIuPdLYyNtky5R1NMKWQVPFvreMzBEcTkFlr+P
VmFUjdOQRgmKPtdL3q3IeglWGVW8CqrSVVolB+sLnItLwy/ih7w27Q0tLO7tdDl3dg0zbhVpgdLo
ttEq3FI+kXDukl0ZWuG9UlGxBT/+gR4KKAThRPPGj+LhFBkxAyLDvMOqtu9WqVhmAFasg2Y8LMTf
Aqdz1VMrDK9keRqNbbNKznqAdO96laHVqyBNT3vUM9aj4zRBWIkcjmrlDfq2NxrrnXXbP6WrvM0U
Cb2VtcGQJHhUMHo0y3X0qYmzVnlcLfzikgVpAcgUUBdL561d5XRyFdaNdNVDpJ+4Vszkkmb+IVll
eOXAwHITx5Dti1JU17r0T8Ugn/ISqqaMBGYkAGR26zMBYeK8jVaxX4zqL1rlfws6QK+X9ntv2g37
AQt5I/3JYOOs0kGWBPcmXeWERL0UJ3eVGFo+/YB6XMbXmtYgw792zVcCWjejF+QGwu42rdNfo3hB
JmnSmEfMCO/eBSWG1kAg/0T26hTWwVsFkC6EN+4Td/pgw2Dc5KtQUqOYzOHPPTuJg/s7gE9Id6pY
8TYTEi8AU7tiFV72qwSzsFLUmDQLB3pkvnHEVehix/F+9oRFM3UI+N3VKur0M997LPQkDtDRy10r
7Rnn4UwcQb4qZVdpKDzd+qKeeuforMJRNxX5MTHi+Ivv7MpVXFrMCad/FZyijQaTj1yfVuNcPFrk
FoaOKcBvGl0uH2x0q+4qYO0gJH+ZBje5Rgu/vGh0roSeonjNVvFr/ymDXQWx3SqNtVeRLPgb5LLo
ZqscAW20Smlhz+oTz8fxNKxC20BBWHQv8PGwAdvKQve/1RX/7Wr8Y1eDFsM3VdHqhvkTdfz6l/Ff
519a/cv85wr/82V/VPjWT+Qsu9SeNvqa36YYf1T5DlU+C5onKUj/hB4ng5k9pAf1YS3nPBoj/y7y
Lf+ngLej1xFIYOYmo4/v+ho/6nOwM/iuisP9QA4KKdE+1hgyo74rGqVqecRhuzoGgwG2s2otWruE
c+QX5Po6F6gQ1PAQOxqNuZkm/WlIq+4uaYyhPOTYrXIMhAPEANhTZPdGvQXaoyX0tZliOg6Rnd5B
JTDx/1XkKwaMRpfJGK/jXAAnBHcQPU6ycl657d8LQcHBWz0O3J8PXV4vd7oNHusmxhpZsSHY1ITb
6zVoU7MFz/CG0JSpMOz66E0wDm+6pjNfA6R5ZK8aqbyvqjE/6xYBR136EIAbXji6DFYBVUzXJWLQ
rTCEuI8WaQAWMoJftWzxaze1BWdwKBdgkgO9AsR1OUDzAWLDMuogXGyd4QXjRH3maaEK/Mrvn5Ij
oXn1KAZavwAo/QNbgqBGytyfFsyYIWwqXqidUUuoD6u10S2DMngZskXFYVX45quHJeXKbYYgdGQA
KMuEltWNGhGS0fPpwh/HDbyKea/TLiDMtrZ62tBBi589TRn0j5oNTpv51MCyiY23vrecB5Cp7P/d
3hKXra9RW46OKJ7nvMAxO8S9eG3LtYjOJ5N3K8pkuvGbwvh1ScYgnCwVnfNkSj4MFsvrhp7t4fP4
9HpUXNktPBT+PEm8nBWi9mUIcUFU495s++rQ97hnar9ZqB85ydqHXEvO9Apr71LJY0sQ4rHpOySt
l6RWJAkZsiJfjnTVW2ufOET2HqxlFTJnNI3gNNX5ebHr09DaKMfBH7FUprF8bWBLuXvRzD7EAnSm
x74ruRZAZpyzXustnw4sQmsn3dkrBQxlS/HckuX8QNL4/KqaRF/6sCIeM8Kp9vioW3dLIWohyO7j
i0jZyUs2N8RBkCR9wZY1DX2wvkA1Oqr3AShImC3MV5xF6uoA+xpouKOQ/8Cdclf8zfK2VON88G0d
HIpCWr+OLhweON5lWSNaJShxG8sszfdBZnbJdV7UvFfQFw0qYDgNEk0SxE0iTtvay3ZdnOv7qAzm
q3QZ89DiEbJFYRxdlS7h6kSsj/5BdIHYt0ViPRdU/4fSJ3dskyMOKGCQpqV/yIWpH7rafnW6Ake9
Y77QD5uzkAp71dCAmiCxlUzXMo6WLtTCdfepv4B48tD6AZ+E5hnRioVH4bdYtYv6VrtLeacNC4L/
PIMAT21x7mPcBqgV4l2JkWwFeXQ7iZ74nKBALhAwjVY4Fo71hJKMTWI5A8cggpwbdaK/aeOyCCtJ
bl/IFCPfr+62naw74AtmlJGVM2oDfIWlr3qGlTcMTfMLBjHOLYoaEC3JAOHZ9LQJnJSE6GzjGwEl
Aukn/XacTO91WIz0KhIi/nlus+wXXLanduanX5o1t4C8oxECQw0AZc6IsglNXvOOlQLaupG1QHDi
ulQPCq9qthsHkez6ZAAuZuTV8oSQ3mQYoxKUwE1LzGBTE0rtzAepPDTagLxrkGRxY5IRQDJ5sxmK
Dr82Sa4wRSqIBCMLhUD4PprbwXXnizGiU5pMi34J+P4WQSn0BU9NWXt66y5xe+6hFrP/ddeIlZFK
fFOuuS8blObkSiReTS5R1bRhW8jk0SX9gWFugc5ItmV2MXRZPodDm6JHzyS0GcttdNgGw3RIzLgK
x7l8J/lH7dp0lqeavcB1PffGI8hXFv9eIk0PxikD3lAVXQNadWlp0KLh8xA5UR+ymEuXSddWu330
9rmyqLyLfg2mMj8XNXcoufICvMx6FzXIyh8mnFLP7YjG3jVMltVh5R+gg+EJ09ZudZhilmcmXtLm
dhjlvXDWD0I5NW0rqTmSYsiXq9EkVBxZixFU14y95muYE/W8rbFF7jTGqqvWF85vGZ3/LZf+sVyi
lfnDcqluu+Rf4XtbF+l3gmmqHV76R8nk/GQ71DjYANcmqLv2yn4vmXykz3LtluLbowFvW3Qlf58N
We5PPHxwRDoYFSUv41W/N0Yt6yf+qUCAbQVU3asC+z+omWgWfl8zCZRoKEQAfWIYtrx1dvTNbMhb
NX1tgWQAtxDpiiJYUy4WHeMgkEPLfLsbGrMG9Ogl4HSw+9snFrEA6MTCRRfKEQv7nkW/zHc1hlKF
9KAW4KWaoSrNjZlY+qNMMQGiQ7FPgIjFNTsk+9TZPQKGWdJVAJtjUYoJdo1jxoBikxeULChW/Msg
iZgUab95a8yFDCTYciSm00rxLwXGtndM7OKaugPEVl3hw9j0NUOYgyy8pN3p3Fhf8hmvlaMJuJWq
C56pHPjgkbUKa572p/sYOtBzmYrpvgXIcIpwdEVsuiaP0CtZ5TWZMG3tQ0jw9If2TQHKrSQsitBs
IyTVgSREKDjT7YyPuIdyx6Zs08AZBFkvY1IBhSUeqX2dd2+N4Kproz9aQ2I9LaM/3VYWyXHaMlEN
Y9wX17FUfH/QvdEz1hDeWhEri5oyyEBKIlnRH1mbcgZ+y5lHLfdGzwPz5GS1/DN7EkQA1o7zPse8
jmYfB0D/lKMdATXd4sJCYxcl9PJ6y0XnwEiNb22vaYZ+bhE0l5l896BwlmHTj6Z17drwgiq8T9dW
bmSX4MLFph1TuFNROpysmrC1CojaCmNfzydoEOxj5VQC8ee65r/89oMWZox9O07J75P9+gvTCJtu
+Um1fnWJNJ0uR4jGgskdDdEteQR5emeUkq9Qzxnv0gwJf/q6IBHNKXrOy0iuOFyYz+CycUZUi4TW
i1P8VqUD1GztELzw5CV9qygXigUmSr8mEbL/jTlUwfNcjPfdoh38zAm8ONCpkEhZae88BmA2wQXK
CBtRysfK5gIEuLNetSUXeg4vKtoT+cM7LZHkTy9BdMORcBGhcplusQbyd68buBpkq/llA6vDe02x
RXKiLciQI9V9Tf2ONRefIcnsigbJrUd8W/fhAeKLd2bXiOtkVNyEXjDxA9eNb0p0KbGmTssagOMV
1JI0zAOeWbuBSxRNJrflZd0ElCZAW62TkSFMRTpqcdzp0hM9WObRBJwOyBxkPOY9GwxshNxNNh9Z
EfpAZvF6ncxMWt/69SfyLYggpUPWhC80b4ZmEnM45fzOs7GAz8MQ7BpbNG8t4Pvnz0s4NTzOb67p
Nqw3+yrpfIvcYbofrZ5TMq5xmJ+BouUiGZ8mKJf2q3P62SJlgVuSoDIrbAqfC6aHk39RVKtR+POW
oIRMD8CrOHkQ6fixTRaOVKTqtwBO5TRkmeFRFY/2WEfPBgl84EB1RjZapvB1F63HzenWM2JZer4w
lpxxoKta8nVMYvNSPfGDrnIr7gfT5AIzLG5ynUPfA/Vli8dBdnxrQgPlhnGCdfKSOrgc6yLAlAq9
a9N9poHXEC3BrhEqAqPJ04l1m30GMxotTgKe8EuwNckUPRJWZ5LolAWXjpqweSKJbsEa5Xxfa0I+
tl/03Cc7kI/cYZQ2HNBisWKVEmX4/awn3CsZGczpjIfdQh1+nwcsz1hmDbwqouB94IHYpzynnMg6
IhhMRiqPndP0nEEIrfcNFzrMXIJx3nIzUseApuwh6hL56JEId+3mIPL3fpK1y4PGJG0fp54l0lr4
wlOec0UZgeSHKqQhHiMT3ss5rj3SbqyqLJIzIiaIPybe8N6WZOgNIzGpRbom16bkZO8EwcYWLVab
C5xsTX7WVq8GXvLcITVVQjyqnpg/6KsjUv8WhuKq0eJ6EbojZp7MWzgGa5hhiWD/OiW86LEs6VDS
5G3iaDcE65UDMqyecZ60vL2k2fQR5+jc08Th6iaX5RGPSvAMRE1kF1ic2yPGAPSIn9e8LREJh2bH
dwYZtl7/veeK6z4dyCFl6873NNdlDzqC6vDTOKQ8mqlmfWt152/Zr6zXYzATMNgoP3gmw4gf8rcl
LdMiLbeNN3IpYZtt+1PmawyyTODHFomkIW5tl7urKHJ6mf3I6bWKaf95x5WDbz+PFYGN4aScNtl/
rqx1nQiXTA9fPYsUbtTzGMdz/uIgckzDwl5XKTHg8LSTznkPML3ssl6VdyLpZUiQywd26+DUNs36
MFDgSoDexazAQbGQO704LGQoqLiDfbbAYjMlxGwlN3JO5iPLj4VPUsSgd5JNDGwON2W9BBdlpbsE
Nmg0xZySNCjulgxxnJmyWw/hzsXPPEqJTu3YK52BfXPX5P3EWss9CSuHJaYmZlciXkRL7n7UVflc
x6I9IxrpzXEzo4OmDrHaR2n7ZFetDyKorMUj+r8GeGfv3yJwMyPu3cHat4rtjBKiu3ZMq74AHRMD
qo6Tp9RTDnbtKvqi8LkaslYoGQInbDsvND2Cr8ZNX4rSGI9dN5900jewXQN6w7dmYtdhEHQvFdrJ
hvHE3qB5ctvYwyYrAdIi/DFfZrdoDJ4TNVFrJ7w+JasqrijLdtmbWchqto3Z0OJw5QKGV7Pb27jK
zsKmluVRCBUn6NEbULN2bu3zSg4BJOdlb/ZgmxxY5LAmvXFGhVsxutjPLpi6Y8Bl2YYxCKKJ058E
F51lLzf+1HlnnQU85tIJfetkNGysRvFki4EcG3TxN+mS+2dPRly9AvOsm/g4jvysWa29EyHfuddf
QPpD32fFePS14UzvhV1nT7NXPhGLqYrLQmn7TuWAhY1Oj35oI/LZ+4M1/KrnNvia+Oxj9UhCysJF
tlNwVsGlzS0M1Qx96qCG7Tx1mKH9BqeKbaOFRS+UXfltks1XnC/3I+v8ar/06IAJmDB3cTo+BSs/
PSfl7eBF4xe88aGTZt5XIkjm+8SZq62Asri3co92Xue0d5poAsqfyt05Uzn9nPXy0QB6jmlE6ys/
TZY70vCcsPb6cl8DLzxEwcCMMEjtXaz0owp6JqqtS2WE417VV8SaskRBMwzBtTe7mLrh3JetOEvd
GrALan3Kg96+rC0w8Jy0inaEYmPo0g3C6+zvDOifm4wVixl+md8i0Ga+6Z+NJRc3PARmSj44XiTb
uqcC9OZdDFzQqqzqKA3dHlAOUrPOcKgnfNBHJ+cHA2ttvGmEAlv68QF+JgcfPLBp4DXmfU5f7bKe
i+4JU51xOZcN9g7D93jdSO36tRsKRmYRypszJl0FTa+rX7M1R2RT9uVAj7+U+SOWXf8IUta4Nl0F
3p42MBFK9r73gERmdV5iG/K8dyMvXydjbZEIgKzszFu9N2Cpg+/38HzPS9cfzChPQsfPGTdixtwu
jLIhtSfdaaicj4Z81p3sBMCAxizW1UqcZnxf71ELWmuLnmt6tWu5o7puqQRTs9rOuZnvOqb6j5Fi
RWHlb8sd81Q6Gqn0UCfhd4SPPG+1ZLzjAN8YL5HAM7ZsrD4LehYSJNBq2znmPVDaQpCgU7SwLTwY
O9l9GgkksCIrVyfioof4g8U/3icZzurFFw1uvAFMZ5xESARqBOgH7PEGC1ObukefDLpngxGIz2Mv
ki5tJ5FsW2ShbZaonee2NRmh3BcprrvnBhHeaSHCcRNgwd8vS7fQmzH5a+ZhE0Gn9jTGk88lTtix
bZxThv0DyLq+TIOfg8CKL2NVXtM+0i8rz/sCr9SVm1fQnqkGHspe0lsctQvChL0LynilZki/btOb
uL3p+Z0NJRYJB9zKAmT0Vq9GlLIAJDYgLC3kYF0wUs2iddgwE679t0gVLOpRlo3NzPI9m0FEo7td
GItlRIQ6oSzA529ibZgjjXXMq9Yb/jWeuis03wWx61vo27CulxfKBPqwZyK6kCbilCTzYoUP2p3T
U4MmbUK9Vo2aQsQdbJ5NqWqK+WyKZbqfJcwiatEiLNVIWc7QtvkPwVVoOx029pIN9Eri+iTlfLN1
RmdQ4A9Ms2NUB0W7LWt67S+LvfT61Z6XRcHPDahG6oqJo7uB+/1P0KS/JsLA/0I5xYGA/eEoVqHO
N0cwJq6oF9nFR2cKkOlFlY5hYQQikteCNKCYYjNqDqmVJjEhCdFS0Y/S0XVcdeLRN3txjQ6BqvKb
Rsjf6KBWMdW30h2OhkHQCjpz6Wv8JRSmsvqINqMdHyuD0o9IuAkJdAqzn4oM/AG9ciqfviSee2tA
ynj78aevdpm/+XiXQ4Aixcn5bghUzV7eVwPKSmcu2AplQs2MLrXyy4wfJJkdwOHW6INc8SLjJNby
u7LJQyQWUzXyxnZnmm0bk9zk5NitO+hGxVX2K2FK7GEqlPn/cLr+5kd0PE84Ht4HBMHCW1083/yI
QxCnhsXkH0r5wIAmmKdek/KQo7JoncBRYdWUeFInrd7Rxc73qqNXoRL28mk9tfclUtJ/OIXf6YW5
nrCMr5JOCzodY7nvjshwlLH01A1MXxg+bVzkc/cdLalnTYsHAgsp9bQUpNQftoDO1gzsL6qRsIaD
IMKLTBHdrHswzuyPD8z6uwNbaQGu69NC/7RKfXuqvMFsUFup5Ni4mBgpNdl7Ef03IqqdqIosXT1g
FPft01xTtm4nq9b5ebDlcN/bAwnAyTAGzzj82C0j9KIuFh3bWCNlExXbC+V7GuMDKCIC2zBP0Oup
ApM72wA3SWnqtRMwURqDH79tShE+TPf9snYBqhkfdhKl8FmZgE23ax33nlYkMlWLpne8AQfODujH
p0P+Zd4pXPhUtktQOS3EwP5O1pgIQ6Xz4BkHK3FYA2W9ELru9+tWp5o4ehb+4JL0g8F4qORC82Qq
Ew5rJkP5YQpczlZsEcgbOosBpQhRMMurLflzwl0fE0bCltKS+M83I9xYPIdjH6fHOqYDFmJCGeJd
PKj2uMwln04mPM0bGAuoHnw2BB+fX/a/neh/7kSvy/oP7Aifnejte/594pOFseDffeiAjjLN5/We
AWpmy9Vt8Hsf+pPpYYP0MCWK0j8LdAOMCKYbmLZrwueAYvfvPrTt/BSwNlgINCXPHlba/6QPbXt/
lrSuYlIYky4PUomu1RbfS1qRmzTanTx5uUC1jJdDquO5Q6EozU056yujs2k1lajpN4NP4PSGJvny
RvfMRb+XiqMm2v4ShX2/m5VR7uNZ1ai1Fn1Vx9Uxaa3+7Cu4UeSSuRd1XxkPqoJtQdMYiVjqr6CJ
0n0Y2HM8ZX7QVTSSUaaJRtWbUmPQd4FAsIVbxF7SkiVndIisQ6awC3HceI2d+Agv6Mq1yvbMSJAx
jYruxkXdTLrermvsSg0RR6WZu/o4FUOvcM/CRrPU58E2idVHT6N222eNDsuhzcLWquYropHj3UjG
NzuunxODUZYqtLGjtBJ7ulDLAe8Wa08sD/gSqpdgHrKdhjq3JehqRzDyTZvP9o7VmhRo2dEL9Upa
EU6D1Kl0+fwSpz5nymZPAAETtFh6D5Gt3pZCLDRRJVP5el7d/c1wBAZx086BiUIzX3b4lpjnyYB1
1GwsHNaORX8XtsGI/4l090Kf2Y1dJYLaj7r0fgUp7brIOwRlf2zsVTFIvu1mRhTKODg2oR+brMMZ
SqNkfna6gQEevIcdRvtu22Hi3xZzH4etY7gIpPqvpUYOO03oUQn7vmiY5IUWgI968fZGyqTZWVS1
JWWQiAEevhvluMeA6JgO+WDo5xKJ6RIZz7NFg4EtpYPrHgaB1cNzljbBBShC5pOkinkk9QFXqfCH
reeRjIzGyiF33WDfMJk2eeMEtTh+fJh6F9oHvaRdILIvDYTCCwULm6YCBHzHUttetyPBG/EhsXoP
mRPblgKHW56px1q7z/60XGZy9DYxlIa9UbGtFeaSHLymfF+c7EumOvuQ1VFL53skxhYR2lnJ4Beb
ri2YwMDZck2sErCNO3JJ+G18F9QZYr6YUSibH2Kk4o52h1hCWxfmRnTOSclMfJntRaBI0xeTkX9d
ZnvaTYnf7LI0m49ORdN0WeBvgxaBzl9lauuBNjsmC+QJm9DvkO6l2uaifTV0h1TZm6It7noIyfWs
Dkj+7F1tBfbeRXmyJy/oqUV2f1WZSbm3/K9xoM3zFHsqdBrXeCxsQeYQGgp76xVpel8OZDVVmlF6
lifzoYFt8oix1t8KjwzHBR33VuvlCnVFsQeNMu7QXLh7iG3l1kGltKumlcAlDfM2dVvibnA87nja
JWv+lYTEbCGF9DL3JNjGkgDnD0cmNmR3D/KCrUm/NWjKPxFXy1n0iYWQtDdC+GSQtUYyZ02nptBx
MvOJhDkC6w0BSHFQy75LGi8MevA3kB2qh5xoGDJoe/MsaIc4G2qbhPmFkScE1pFDRa/DJRgOd441
E1TLofaXHpJv/qFxWdUpudy5e03z52uK1A6jL7vBQWGW7Hmsb72F89kwyTh6SYFj2jJ/naLEB2VR
O+fVbQ17sXuAhH2iJnbP/uLRE26dezfK1I4JTw27cwJsNxbu1raJ/ZIq+Bl8yH3KSIvpwG3RE+tl
Zqk4zKnxS2kv875ogZ503mU68u81qMTRndf+RFXtvfj/sXcmzZEbabb9K229hwzzsOhNADGTQQZn
5gbGnADHDMfgAH59H2QprVJ6r9qkvVYlKyWVZDDC4d/97j1XkyGW5CaaY64BqWeBMbPFR1vD2Eh8
VGRMtgdv5EZR5N5q/Bz60ND9eWviaokkBdKhnrjydja93VCaH0FL3apPSyoVOp3zGJtpEpZesF3x
93QIZnA22m9jh0TnLXMM5z7DilrAyoFfk++ywhy3VBN3G2iFhKmC0j/AnryrC/OT63Y3WWJTNOZM
L77q4IIAAQqL2XKPgy6qpyAYXwvSaFHTeN/cVAGdiDGoqwRCpzGcPbuH8OmbJ1HjgXfqumCv45KV
l/dFGlP9bqV+GLftdykpOREBJUnOMtR72yb3HBOn3baqL27YRMH3nqRPqAAYSkFGoLPST8HsB0+z
PR+AoRrnxV25oubc7nq/QOPx+RurZXlCLBb3VFzR88JDaNJiMJoKJyqF6MVODo6z0Uvncd2GRS6c
2/PcdsdEEpCFTAVRFWF7g1FVjwgAuu9FPr2peBgO3kxTxWCyXkuKFDtwr/ZTNWk71kaIK+UY3PXF
eK8nHtF0216/cQqt2i4Oewc3TRk/1FRxkB0Uu6kVeM8w7R+NVHulgCrbtFCULEHphlUMw9EfF8lZ
IyQJ7Ng9cP6KU4oCvk80Tjnls9cbJHlpWDSgtBbL2SXITcDnGyuc7MbYJ172qkbhYIv3n+a+g2bX
rvVVyXdLa7xTURXxKjUtG7txjZ1Te3Ra26V+8hvWaTVVNXCE6ngnkVwiKixIiH8uuBf3zzbQISz3
CG5tUB0mdnq0Qk89yAH10jOnURSVYcrPCviKBc4OKmxkQBuZB69y/ZAREHE669CatRgxqzQYwp6t
gfkRm/s8y45YsNPVnN45Bv1GCRL/Zuw8WDbWIvle00q1VCdpjZ0XhFntkwTCK1cILQW22shFytt/
rtd/JfxmkdP6P32xr3Ndiir51RT7+9f8jPv+IHtwcYU8Z+rYZZmWf96sDWOFfgA2JxfG9Rbvxc/w
74pw1000Cpv5TUes+PfFWv8tIBC3ptFR4Dx8lX/rYv1HNQSwOSYRosiOAVsGXWa1f/wiLsQDPQ+U
lanLUH5NuiJKi8+/DBv/H7XnTzPo//MXrHLML3+BnKyiZI2oLj5WVVgcmyH4EONFBGH6+wj4H4PM
zqo7/KIsUXrsMzmSb7YoXWZ38idpZwbjVmAeMW4zp5h1QHalRkTRncm4mcjpn7ofofm0jv1e3+sN
97QlrAtnJmOvWzor4K91S4lYAjfZTglF7rlg6/vZr4ZvgviiKG+IMq8AOn2F0RX/AtNRojNToKDV
8dPc9jtKUp1T12cGS92aPQ5RrLaiPmqF3/k/OHjm6GoK099o0WXhFGWb5vjqzGSUoWtXo1dHfBNw
W4ULCIPaUvMkjUY8z1MxnIu4pY4WMGuhdsjshVWevZ7IMXCR5eIbuaM+kW/BA6AlJY6I3pSsqOjO
urM1r1nonQpS7VGx/bGrrTUmcQCkBfxoP8VkEqTo9v+cGn/l1EDyDdCm/vNQfpcXH/hoPn49Nn7/
ot+PjcCm34HTwjEpDl/d9MzqP48NfUUCua6HY0w3kXj5Vz+NYd76b5DlmOVNPsv/NoURo6XygZEf
sxm52b9zZrCr/uMHzeBA8mDVB6iSJgalldf5hw81N+9qApF9snsNGAZVdD0LBGKBvQ+9u0rroxOQ
hd/00FKcbS7dgaJC3qdfuQKZKISTJkmnhWUZiHivDaBanmDQFWfSVCK7790KkqUU3ruzuNUp5bZy
7lVmRoGGXI7FRJQnsliEQ/IAKtmYgTduWg0nWNrUt+x1m2Vfzjz8FQbtZElNejLxFgTvo5gp2IPd
iXLat7P7NqqJJfBMlTXbNJEyYuG33VouMJEwgNYiPsZeS98GDHDloQZpnuwa+IHuDWuftE92WlHq
9moQFunEppTFhLoUKVqKtyOlszQX3J78uOnUSQ+76JzZ8YEkG2SaLbVgOvnRinMMlCIQNcqQ4BWy
o7745sK5zATM69luxFwOLFBiuh0QAMYRrLCRxob+RamiU8s2T4XDloyNjcMuqeK6QnXiQNXajA2e
DeAKyqVLZ+q5YhacwEtrE8DMGnsJc3dM2ELhzDVTwC5kH+sl+8qqcu4cOD8l9Q+Y5gl5bjzTHpO9
mU+xvODb1446XXz3OtjIzULdHoeZTXlsl1bHVNPGfQIXgcnGHdhjd/TqjsBerkZBmaobNPMHkExi
lxi1wjmfUwzrbMYBPOU38P2sfd3ZJTVzLP3yamzh0Fe1uwFrvF4Hp9AbKMgry6qOsKgld44ZUJ+Z
FlPkAkOJ7N6xGGkA0NOVGl9lqcpXGMh9s8ljWqMWbWzuisx9prApuZLq7e6pZvKuyAjjOxCGKUpY
jpxkk05X3g81fopavDA2x/eFWc8g/poVZjzQDxuzBY94eHqXIMjjl7SZrMOUutqdxkKDuUdqwW70
pHUTw+ynFFwTC4MpgssLXg9ng9PIfW5do3rE80MhKwpywlI6o+0qxNzgTWHNiuhYMRC7m6Cng3Jg
0jqqibofVeTJi0Vy4xwswBE3RuOoJ0R7JCi/oQ0bYUMW3w1luwBnvIUdP56LCpx9TRkJsep7KRbv
KJXzlJFz7LLBtiBXTt6NgXEtAY+0FBXG9GG8wyFono1pqg/cHQYyCDO/a8gZ8poWbvUi4bEDmvea
z8pMX41WjmFf+P6J33S5JUJgh3PX+LcL3scrUPv0RNuZfErIALwNeF0o1VOT+SWrpX7Wlorde9ta
3kkVU7Czs+Yb4ej4YDg4scF0oq9T7PQY5P7wprtZ8Trni3i1VC9WdK+fv7Z0GoCd5RPmar3cs0kx
t4Gn+p1owMnWUE4JxhR71sLzXRVUzklNdJahzOOXI7kXaHcGoQQKKJcs3aCUivsqziayns0kw5oc
KO9i5PvU8adiI3qtiyidnbe1GppQxcQIeF164JHFWnmrI6N1ihhRUEUgJ80X29Osu16Tz2KRj1mj
eV8nBxQxQ+oKmcKE47H3bBYEJZnZ5xKP2Y3eoxO6WRdHnkiOgd15t7OSLR+NoXtc4G9G+MPqL+4A
tqhRS33PgLh8btmztBsDjgcRbNWAWk3s5ySluddtMZAjwLUUci1BcosIPLz31GZVIC5DfK10EuYo
e2E2ydMgmuSDSVN8K9TafjW2N+ZAC7njqilKxwF4JeuMg6V5bKknpeYbc2r8yKbli3ZHVBU+cdyh
LgbOtZ2sDY19tO7X1xynKtvg3mCNslp5xk7gNsRgiccrLVU2HUxQUw+1WpcNeaKsx7GP/c+5oiJl
M4jVakWPSbAl4Tw/2FqMSwEHwMeAB/ccuKQpGOVXp/Cwei0To6LBavBTcqTKxpSyGrpmNp8XDxvE
vEkGC1uSxeIeNwQ55NLHudDMuIc1in0unUBwCZRTh70+faF1tXow0DKgvMRdyH+U5XRGOhE3RbDH
SjDdaP2avPEbwEy1dL7Xmv1VNK15YxCIBdLZApUqAgZ71mZ8yOFbAlv1bwMrz29gULrZJlu+pDpw
iFYvauy603Oty0fwUoiShkxD1MIYM4Cb7gTghb0uluDaGrLeaq4JANQmp3RINEpp8zGh003EKCbS
eBWtgzjIIn3H5/1LhmD30JrAWVL6PJ8SjzyGkcrmpDIEMEkLSHHr1ITNna4aAYLryUFTNITjQHb7
vY1D6co7l5IQPVD3gnXX13ZCDyMGZxRce2z/JXFj+8R3SEoc8Cs1I0jK6DlOeV/GGgWx5lwfDWht
od7pU0RFn7jRJOBVt6rqfT9MQ0QfXf8OBDWNCr+uNqOXf+o743PWUgu88Hi8GVWZgBjrVHoPNB61
o6vziO2VGcL86b4b4PK2gzEPjxm01u0Pz1yd+PnOxp0WgSOMHxm7u4ure/1eBeivcwfhl0S4ZWyz
JYCnCYoAT5VMtaPC0iQo9XUqGud1u/jUEtfZkTvKv5a+Z2wpnOb36vufUr/4JnPRHS2Nx73u5SSx
Hf4pZgTczNDND9A49KPOJi3Cz27ucIsaN0ujZV+CzKdpqUi1PckyKK5dXFyzvrDwB2ViByCpPQ5c
SLYDUImDZdfdzpu4eWnIePvcTMezKGuK/4oJ3bg3NC3Scc2EAJHGreV11ZfeUSLke38i2E+z75y6
B+YPCrud28VWzaGyyxwLV2DuasP50urNdRh8rg5ouvRvLHuOaA2CuPZmgITcpCnijcgXbhgFrN1c
ry9eI6+eTqVy1+4XRH6UpVxFelo9+KSCT/g6kh2IKeq+2RdtXFHhkIVm1y1Fsovt4tYqNe0h6Ca1
L9whONhzhsnHKq/ki+4xxaQ7Mm5is1BuG7rFTNByMCJglMW+A+4X9Qv8PzupEZvSgZTzaNFNqnnW
ndbjSuNs9556mz4gavow5DnGtzZ2SbDNUDoEfqUNVnKHB1lOcyr2hKtiPfZFlDNeG423X91pBxdC
1tXVoBgHPQDs0RkMKBPNcJxKGcA5SdDLxOKfyn6+FsL5ZMfe8z+z1F+ZpVhTrpVv/3mWev3W9f/1
ImQiKvGHger3r/yZtPGovnNdjB+cjSbuBf6jvw9UPjAhLoo+m3LMKcg0vwgxQIso30Nn8QIXOWZV
b34OVd5vJIldNJh1AcouK/g7Q5Xrr1LLL+oFTh3XY1O/mj1Wh8wP48ovSkky26qgUCc9diUuytqv
uMpWZtOdLbzYUWH3TBI58ZSHzuCzWCbE3cREd7FuqEOeSg3qdjx4O0lE9jHw+TMB2IEXgZ9yj7tp
pUVQN07GH5oLlMM+D6c8dY5dvHiUtmdDjDdRA6ePWOIUZGxzx43GgFIXbPPToeVIrzCmjVSUJpKI
oZ88wxZnfTc6rEcCN8Mlpl6MrojZ+cEyfF76kWWSKuadGDU96u1suCaqNk59XRG9A92ybvy0gp4Z
LW4fHEzqN3wJ3jipe6DYa+0q4ibrohQY2EFauCgXNVebiTzMKwLneM4sfX4CHmHtEEzTFWzqtptg
WX9y9iXd1ixdPHJGVuwYicF5pyT7HpPUYUNnTU2YdfxrzNzGGbz7c53XDnJuP9769owftehDDQJ0
lGBcS7ge2P1jDq3tHq4Z6Bzb0iFsunj+sX8O/MSFry1RMMQBvM4RMyKt6RuXkTbie84jq+tB7dcQ
X0yNdWM8Wa9DnjcHg5nTs2fKWob0jv3H2EfmzDEdeZAyQpvC4E1VJItNYZEcMS9X1BD4OOE3cdkf
Aizez3ZHic4Gzryx1UbUHjubrRIzNUFzbi7DDU/LQ5/p7yJjvBz4WbY08bzE1ayfAiWfmb/sMJj1
6hMAl/lksJtine6nlJbBH2ELGBVZkjx0NoNkhDRV3GIlbS9FxUqAV7lMPXjrtYtg1rn3uQVkQ4Np
9R7L2LyyYs+2TuJON/PSfOtNK2ELNC/uNm5Fcr+orDtNAT6azMWq6hvTDTVwPMIMN45YwMdXw+rf
kq6uQgfq6DGFJ0rvcq8X43UKkrr9YPndfdJVO3wX2Whc3bJxzmv95GNOrUQEzGW4cbhsuvTZlrxk
qinlLW7GT4qMzkVriGibSv9mV+UnT6mavbpTtVAmbHLh7Mnu8ElTTVvK2X/HBT48LdpAvn2MC/D/
lL+FSzkM5UG3ByfbxW4NOraolPqUJkutE/fnAr3ttJaNa74WVSz8lreOh3FZrFzZ61gv7FwBh980
LfSzcAIQcB0b8145xvvSBe9EyjdSt4Kt9PSyOQSugK9i0zIl9yP0wb0O1+aVZMATDr5vOndzsule
0Wwp0dEPTjGO/l1aMEAQxRM0qrvmIeHMeeC/gNfc6tJLx8LHdwN1nIyqhEvi2ukUDkmnzNsu6JZk
78eETNivNO8lyFZqgQB18C11Oygx8f04VDRutXlzO+PdhgziTrtBD/azbaUkSpaxvZqL6ZeHITZA
nfrDnJ1zS2fwFx1R1s2k185tx1Jr61l1ekwpyNi2zRoj97i+GLhaXwFSzc6mX86V7mkYDLp0nwPA
AXlkajsnxtMe6LPaVWuJSDIV+dvkWPSqZK06Q2za2RXopTU3NhANs8EJSizOiHI5Jsd8ZBFOJ4I/
0h6WkX4/Zbm1RPUwNPsR5lE4GmVyq0YHB+qQras0wE1Hp/fl7aT3GtmJKB2KM8pPEpUFwMSN4Pax
nTSr3GXN2Z2nNzOe3KiWnXmclnjZOvypM63N9a1RWC1lSLY2SZrDW1OnQcqxvCNqjM9JJdurFUjr
iewnEB92wFHqGLDg52aZ97EW12yPizx/p4GY0PjkgbGyDTo35fgJcA0DKsSBCT9ZIHem45LEWMZL
sSTzd/oKmbFGz4M1kJAqBx4/7Ke4+2KD+YkgDwHbTV3oXHhqhmNczkVY4yi4EcXwiQcLSXf2eodq
AbDNwFZrCxAKpRirS9F/IVtmFaS+vO4GjBPSR2I8Jp7rMyGW+lnoHjJT5Wd7WP8ANBZSjSTWNgYP
2C0QqpmkpMZ+HVTlUZ9RuGJipkdXYTeg6Uo/uz0KFxKoD9FeNykjNoLzVHliO5nFQ+wu4Gy6xNur
JgBwFEvxfRDzsNrHqeMBp2uHgCqKKLDM9tgGBiznLMnbSJ+sewk1TqsnE483H9HbtEnERejERnJS
GeG84L5x8A+dCJXFOzW056ksW7wCU/fVqeUUJmWD3bkompveosRuYXFwlEvwGZNQeUwchqMAyNKQ
q89liSlCN2YDJYfHDfPc0ZddchhUYUVl7F9GCjB7KDkXq8T64g+jc1XkK3eSeTWZs4dB77SrSrP7
idf1FE+OyaexuAAMXnYTUiiPRiimdKSNnYvBpaMhgrwXlRQjS3RJadYz7tB5owZe14d2EIl7ogxk
xrJI2qHemjw5JTfhiY06ScWZAAQxOYL9buUvkKXjoFkeS6EH2htQj2mOBEyXJaJNjUEOVihwVoSs
AkuH1zP7HUBNPzqedGnUHheuMh2z4WXEC8LbyjEsOuJxe290Q5bf5hpcGK3l+KFM0Blp1JAoe7Wa
YXota306eaxTzgOOrH07awqfSulNbgiQZTwBcFMc/UXFazCmPSQwfdkaJSemj/74MWd+BnxvyE7U
Bg8WJkSvfPCXQZxKnSJudPet5wVqhwky+dqag8Y8AVKhm/12p6BZU1fYs3IvK47XvLV4gfIZGyic
gOTFnuMm8jI2NZK6Dy4dpWUfhFzsMdIXZ6ClcjBgKrgWpWlU31jUrQ9lumUn0+CrMueBUjueXPrO
wV0fb/w59aGwe2imS046bu5IDxMW6MbhqKczu5801+gXbVH1dHC7zGuswe4MLE99WPdLK3ZwOMi9
+WAHI2xEbpTDWn3Hg5Jidc307Oqnsn0g34NEE7izCGvi4/tOxNMOM6t7WIx0GjdtjptsgwfWW/uI
5v61YB0ZxfAVb8rML51NwS//bbEEtp3O2Vt9PCBSk9FAfazAYrW5iPH3WFjCxJoC0HDqba1JKy/2
7BIh5QbUYronbn60ha2/ouRk0LJ1io/QY5jRm5ktGG+XXqc4o+/fOLyXrcWLdCbB99lmrOaD7egl
2tkQtwgLEA83gcQwo3oCAhuMDWbY9+4C4ttNy7uq7XwCZ3k6bHsnvUUsbVB1yv5GkUM5EmGCJ18R
tb92hRzybedUxd6uXLnFp2dhl+2IHBWVPX+dYh/nBXfuZ0Dd3jm208oNV4MteTCuZlGcGElwW+J1
C83Ze+tLq3udadTbuIlj7wqNghVzcvSjNOeF/vcsc9+txh5VSIBdUmzscQ5gpLotIIp9M0HWkacV
xgfnqTgJpaE0kFd5G2kCmLFklR7WhVZg5ul1fDxJj4VqrnrrYTBqa9XpGFzxum9zWwR72BMDUaZx
PC/eqC7056mHzgMaB6FzCjMMT5T8NOnHTBaixShc2ztD1PBcGqOR29Yc6TOpJ9T8uG9Rm/BRmaPu
fWWrOd005CsuPi6Fx0axzwo5z7PvZHu7p6DSi7fE0IuEtsEsONVzEp8EsPKT3sTtzuP9embt6gJJ
61Wo9KY+mit4Q4OMQRbIbrZz5Rnc/REZHCem2dTr05yjuax2ymVkBwdQHSedu3hDYvEJh7m103S5
7Zs2A+ksYbtk5XjJCCGcOSRGYgUpHxZvXFFmnHxWLkWYam2zzVdc5YzDrA7zcW43ddnxWZfY/hvB
HYU9T8sFit6kNHed5YDKq7aiHdzvY1+rr0DjcfM0RTDdjqY5WTsl7Xr3z/z/V+Z/QpAu+8f/PP/f
yW/sL/64Sf3xJT8NGBQP4n6nvt3kJo2F+N+DP6YHbM8WneJUsvi4mHEd/3RguL8RqWSopxzFw738
yzYVYhlHng2r7Kc94+8M/pb5p0QKfmXLYQI1ScTQSqibf7It5N2w5GoIxH2WB4SoQuzAfAhlkrt3
QdzY9tV2W9ntYYdWuCTjgFObhZtwwzweazVd8JWi4Xr0lm26XuQcASiRK8jbwQKY6xx9+MHgbeSH
ZKl0dd8Xrf611BuAMRvEQeGH0ki5jZmcHDz1ayxK/rivAxuQUdpmpzKrjO9Wwlp3g7znf9Yoqg4n
mgtOXm7zUakTkgM9OFhaseI9888SWfS70t0q6pGj1R0GFpwShXEpGvBdi2Vrz56uffaBvkflCp8F
R+XRzTaKo1iWjPC4LY4eItsnRfRyi4cYJ7Gs3PRBen5O3VQ9zUwgSxzQw6dKubUafmLuTEvvbzv6
LqJAT4HQsyNORsE5mij3s1Bj/8yckmYXxyRPDyrEuxMouiSFqQUkBO0S6ey9NE03cUCx/abTCew/
ek7fVxG/ifktnpEDNXY2w2ae4uQRzzoTP2ZWdq4z3/5RuHF6XtRE3lAIJHrXniiBrqxxG7g5bEed
SKCx8wj7MYVRL/k6S7ZLCT1abBS8sTxpXQVNRXNo+MIqt/h3fq68ATeczVsiWwS1N96Ugo7OmG0l
0FJvfufR20JXlbyzQjMfyykKinSKhD5Y205nJULHZfrdk1zN0kTkB8SMYacSy42clQ411Kl3bRd7
wipOYA4FomdP4+JUp0QNwGXZGlfNCdS2Gkv3FNse3kopHfcr120uFtyuLrgEFjztWKVSPHEz6tOu
rbTmhvI4Qrl6NXD/PwGbVH6D/AqwBZsd2UjcgGNKQYidt1gGlkoYNpca0tloNT5OV3LVnX0DDAsT
94Y8ue9DrMfNZEclHjrrOnQJv6vFGL3HsqkEMAyKvZuXQo4e2OKaur45ZSnENZmxL8QPvuKjTDQF
9OhYBjeAatOvZevNiEGFl3uo+HOp3YyUpHRwByZWQJovbsaqT89uXKkPs0xdFludIkbQUGp+nBJa
dLntmJXEBO3q6WHGVFoTsLYLY9MbLKNCBTS3P+g8sHfUtIt7iK4s2dJ2hLVVU5LCJzv2yRZbzSz6
iNIAGLJNTGjqZqEzqY1MzQY+m/LbjJpx7bLUK00ywrCzTO7dCqJAKBGxvdtpKbEfdI6+l+SwSQ2g
uPCOszWIbR5zZKF54qLhRB3B88cFW05Dd8klFr56M2kz2vd4fcHw6t3DMvXZciXF/EVbgorPFDWl
FDE41PJe+trqsDG3lILvkmGu36Z4JdL6xJCfFvQmPKxxI6s9/yfXvUCr+v7ASTRDBg0mnvAOXtNQ
QIZz94WemgoGNDQSq27kd4rTnp3B9W8sxorlcczNsTmoPDVglcXzFPmNZpytrtNvFyofrzahMjbV
dpCV2yzhNHMGveKG3mb7ZbL8U6b5iG++0qbpZjJUfUb4qJjyG0klih9328JIYlZx/K7qXcL2NTIX
27pqVMfAuB7SInKDzDyD4Aq2lp+RUNTEyhBBKTGeqPQREdAFk99zbifZZ9l62QdIO+3ZksX4zm5r
lFtZ2zafNXsawagtFtgNttNHpCuoMgSJuy2FlIk88wfQnQxtpSuAi2pmLo0+CcgTdjPHLMMZkl+D
0X0umC4IE9DRiPE9YU8tqQqvRgIYWiuxa8eUNcF+rZ0SkAxl1QPViXQsPRlUir9AuXkl4oiI+C+U
Cfcz8+D6yru6jjCipCek3pspVO4ALgLIF3gHUJG5iNYTUbYq7uxLUZqIwDgUSuNWyRpRtsd+vPfb
2npr++ktmSYIBL2LIhkZAtNFOI56320GGiGHW/o0jMuCUe+hzOqMvTrPr+RqTGMssaLbxbzMh9Ly
eg+mA9tdrovQApR/sf3c+Oc+9e0v3adwhv2f3rT7b1W1lsh+/Gmdwgdz/cKf6xSbAgaQYGgNGFjp
UuaO9nOdov/msEgxYLeatB1wd/r3rcrkVhW4vs5V51+2tn+vU4LfSLniTjN8gxqa1dX2N8Bl5o8G
gD+sU7yVQotP1rRZqLirSe5Xj1rB9LWUjU5MxavyOeJuw1vcKdZO3niqgxWbY1ireEWLierdNtiY
nZRHNsSGvlta9PAwLXQtINDUF06UEuXRmEqTIZLBlwZXwp1yQRViNNMjW+Bl2CwltHgetl1HAH62
o8UtSBJpFvuaLfEDYBp4JnClkOJf9qvD4AXgD0/ZFZzIYkhn27gsz7GpASKxQZRt5Q/aIs+u9hFA
FgxG/QeP0ZhWNOMPSmP+g9hY/6A3cknKI+JVyOdpdRDeIr5BfE2+qAXw48TXvDlznQ246ABDpj8Y
kcYPXiTJY7q7hhUjWa9ASaLixRl3KiNUnfa3owI8aawIylhnVbupe8CU3PTIT3hJNuITAFw5rQhL
DaQWUNUyYB5vYjiGK+zSl7zMMMTBO8BO1E+ViyBWeUSvzRWVaQa88ggBxkktQXnfr0hNZvfyqq+Y
zWwFbqY/2Jv4ZKoTfkSe1SuaM1eptzOJTKNt+eUtc2Kib6n6wYgjKRvIwsrRX8EO9zdDbb91TtI/
GtC1AdXKGC6oCc0Kf/CKC63kYL0gH5u7DP1hDxsogyu6xPEt6XfqBSwdQ10NP9Fxxu6B7jA/27pu
7JwsClq/82SstnZpPHjj/drbE3XKbvdcfO5tdL56vRtYFywnw/vqrnqGUjTdjV3mhEFJP0Ln96FD
RR65gL7cW9VUnEAFUHTfZNXVwQF0C6H7VWDlioAc5BHEy3lX0U30OA9Ou3U1pzwoSuf02ujDnEK/
B9QY/W7QOi+K4XYdE7eGXWz529ImoZIObLTiBUc7CcU6PmRB7KzLwPw7y7svBnbgHc+ruIazWxgP
vMnZfE1TS9mjUXJ5DyhxpdmDFl3TJsflXGvebSFxqzPU/XRT+q3L/qd7WyD6bZbJ03apiQLtzKwB
VMdFKRmoZDAGQ1CZkWpvjFjJsSlStn9FwyKBZPfJA3NEtV06byWPBcBEErjc2PK+4W2rNhOm6H0z
U+EwVKmIMt3m6t24RPR8gwD+rHpnMybCrhPu3uWcGM9+XExih3ylEDYdY7HdIcpUmqT+g3InKpnD
WQv84dE0cU8/IjMxr20cADXGi0FhdbbVnUycXZaSV/BFcfo62Qua38Be0dpVQU0AvgA6xt8/igtl
KuZrgDdP3xSZgR9OkvOh18KoNecN4H+VHVW9wtwKnJb8NNCv7Gov4ZKMj6MQtgIGLQbsMkmiZdaF
hcmYved5L5cKGfWHyJquguvcuMESjT90WN5mSfJeGiIhpJ0aXINzrS55e/5Qb6d5MRjqjB+6rq9m
j0ZIQmL+ti2tPk8Oc+/b70Ndqf6LlwdG7r7zGgU84ouhr0+iryz8g1XMVMn/uHF+zFjcYO3lPtrH
T1U+uNwxW4be0OwllkhQX9P2H+XjLz2pPdflqfWflY+HtP767b+OXfFRff2D/vGvL/z5pDZ+o1cO
kii5FFTVHwVLvz+pPeM3H1g7STjcDWSEfn1O8xVYy1eQwu+OCAa5Pv2f/0b9MMhWrGTRVRT5G89o
4ip/tjygvFi6TcSTgLdu/Rlt0cpkkGUQ1JR8052dzWmNwRNXFEypgE2p6bypchxvqZKFKDQ0b0Xi
rNZj72LWQ8GpvKR51GAXxg9UVmQR9ReK6BI8fEWbcZIpP1owlx8lXKHQnjVvB6VAsQ30Lg3I3I05
kdKYlPwIrPLWVbiQNAXeromjHrIGVLVV7R65QmNG/z7og7iQLaRiwWsIgFd1u9E1n62HY1KHqS/I
0/q9a3REM6X6WG/M9JCRXLNpkJO9+N4VGc9nZrIt5KaLZ017BSQBzmP1PcirW2WMDyx12LqIYQcP
75Yq93vW+WeSdCzPMg2mmvjgFlFHdbt8cXBVFaPxhTqEt3budti/CubA1HqF4M0awocoowOrqDF4
wBL3L0ZvveVj8eHBytnp6L+6zG/XV6DnKciqqPieNSvNkCD3zipm/NUlMexhjfGNanxKLPWwmv5D
n4juURbBF24Awd5I7QMcuXNOLchxWZGkZFt4YXQd+4I4mSs9bsqnJxe7pmrst9TKT+xqP2SbAVl2
Ll5qIVC4dre1+YHYd6Ecz/c2o+putvpdGzRwp+wVhD5Q5tOnWP1MXLhmzQtlpqxNyNX1G64B6Vbk
QR8O2liDsuE8TrT1tUzLD3yAin0G/KyeE5GMTQeTkj+gtcu96vT73lR7dqNnwyfOrI36ufFqLRzz
9LtV8MccQ9zm+XTm1ugc/BohKhP8hLU9v9AXzCq0dwvym5YWocsTZxRsnFKo3zfSyVC8lxdptzG2
4emJzUA0zZUKq1TS1FKLjwreyJZ9CrWvy3k0k3VTLwU9e96bmPTPfmvdBbT6hK4i0G/2B9ZK8tBO
49PSOgdAr2TfpXVISBuiSvkYCnoKUYZhOQOxZB1CUSuVt//L3plsx41cXfeJUAsIBLpp9swkk41I
SuIEi0VJ6AM9EMDT/xuUypZYKumrf2wPbC+XSTCRQETce8/Zx7KPgceToOcOMb0o7FXVmo8qsl4C
5NPgWBuMGlF+RKV6Xzf9vdT5l4K+zdp0y46Oub63QysmE6ir0G5ycp5dI15bVoLWdbnvlnLRwMsP
Za3SHXQWwPnSQ6/Hz/E5MT94PIq2+wH62oSOjseRLeKM/qJ6IpA4WBMBNW2QZA63NrDXTa6jEK0s
guUp6IYD3ZnhWJfOgCzK9S/0YBCVEk/5loEDsx1q9Z0ZkxJIp7JdCyO3X5g8PE1D415aPowcnpoy
AWHAfKhKNwGc+42XzeNz6JVEyOB8yN19Kmv1mKnwsdB4FjazbINkVaDl1XF4lip7amyo95nOMb+z
3TH72lTdxFxEakZrDaIzrNWIJY5+2RF04CGQMeIbVZINT0fjsTRQ07bYbbdD7zxrNTUvSometzKN
tzmaJd8jH6GaA3dXIEekAVeGN2hvyLZRPP5zKl5KkttgFBU02QYaulowmfToffBXcBIiiptgTOoQ
DejwWpoec33BQzdl3gfPcM+9qMeLcGi+GGNzkm52/G7T+YnF703/WvrApqkBKdmo3hzvrXAtSV3Z
k9eISYB2M5SEuluaZ+fEqWnTWO7q11f7m0yOqwVsaLYjTWmhv/uxruMQ2Ct38gDS86pvSBw6itwG
1ofk9zdXWlxMP1SQS7ogyBMuZjI6eGsnHD1P2ykk+oPosudgibFaluPUGoFJtHR9L/hv5teuxD96
GH/EnBCat1yTdBKGEmgf+M8fP11kqyD2CRDmXObEW6cd7kvNi20wWh4NJ18vnxfM8alpWd1+fWNt
ivm/f94AtBMKRPCkb3FBcHzGOcXteGiLxt6kyOFvppDICpaLE92a7GAG+mVs9bDLxmE4puiQqIVB
ETTx9BLTZ43UfOojYE84sQ9BUBhr0rW3wh9PIyh8lGsUbxg0UL2kVwxYoagOd7qIHk0nhgyk5bmn
i7/WZRnsHaesPkZoptfSZ3n49Sf9ySNkEycjHMu1TEe8HbiIPAmKUkjAL6LdydK8MYP5hgiU+jd3
FNb63++otAgo9GDW8CgtT9h3ks5gtBhx+MuzGsA0p5S6mRBQb02aExymA6QJfnbVRVZxmw/TjdeZ
xS2m+gQmZvSlHliXl6MKaQUZ8GZ9iowW+vbY3xuBe7abYR/7LPdOlRRMEGJ3X2tB/80R076IRAVT
bUpQKDXtncr0o27Y9nuRyCM8mwL7fQddWSVfwgREicpyvkXtl3ttpF/Ccn70o343d1QaurIPQNEO
8FwT1C7zK/v8BJwhX4t+vvGmGimH4HcT1PXUIBtcexZnrF9/YT9ZYfA0LoGSJglCzMh+vI8zMuxa
Als+zCNMW44TmpUNjxnhN6N9+PW1lr7Q27feMdmnMM17gbMwkr7/zhjOM6GWk4KSOdwhBTsW5LD8
5hI/WVkgAQuJT9OiR/G2N0V6X9blpqkOZTBU5NtoxJ7h/LKs9FAMpn3XEEQj5CEwxHkMg3hL1MQR
Y9l7RAN/+tgTVwIKENiD1D4Q+s0mG7A6VVNxRcPny+yO9tYLmfTktsugAADDqjfn9jJP3C0Mowef
BgvmCT+6kBNkHBzQI1Ism3TFoK52ohHxyg5qsSfpGLiHSL44uKRWdZJdDToj8pKxApEwHFDRt2iH
KExFLb6mzXtXKhFvIS99jZn4x1VR/uSN5buAYGayDkv56vz+7kVCBk0+3VSog5VTKAxxkayTDgmM
gB16hTqOjjbHLSBA/rlwKOnDtjEZDBXXjDEefQZIiBYUQ69wHulNWyUtMvPDmFb2xjcRLmWDe14k
bus+dM4xnUGsVaxEFfw4FD7ToynGl7k1V4mXvAMax6mq5gM3ht5nsfk4cRBDaBhXezsf96Tn3UWO
269SvHtwJVj4WncgENNAlVqEebAXzvwYVM3wFdHwjzfpJy8Je8byL/qnVG/ixwd3jGroV+OgDiOw
T444EO9G/hxJIkxYRb/5RizrjQd42amW2F2WNQIR/L+9k7W0J9pAvTo05ABtLReQlR+mx5CdCold
sp5LHsl5okAakI8gxOAEGOWgRTkA9iUq8VKRYZrAxGE2Sp5zstjn1OT/2WbWJUaL6zwA9xMHnPa1
Ku2NXbUvRTrf6Zymq7dsxjxmkZ09h+NySiU3KJ3Nq7onw1GXYs1xdUvSi7/r+Epfy0smnDZyNf6P
iIWOjGH4iWocdlXYd6t87uILDdz+tQgKlYb3QS7XUfXjfdJRSPp0ftdzTannzON900WAaWWAxn64
F5l1Ayf9aNuc1iwmb4D9JsyeIIIK/pdwWB7Iqh92lmza7fIatdoh7nq8dxm5rHInM3ifkBvmNacl
wn6uNGazDZaadtvQN6pTh1esC+vLwNEvSKI2I/BWRpbJVWJTswSao7jM5Yc0HsDoS5eUJOdAvsaR
/MzjXNSLmIAXuOvyI0XxvgjZWZJoEZTzdrhjd5VbzlPcjuqYWQ6WvGFji2ZaL4WRnptkP5L7eMK5
cCa254MApvWb/dj9yevNWcfBwowaA+38m30SqE5aowMpDq03vaCPvmtN9r2BMit0eK2X89drqV0u
QU9dwEnv9Z1XcbebxnZc1Sk/RkNrk3Uq3QaINv2hsb1N3kVQ3YWvtoHup0NuIdMbkgzteiSTLYGL
0QuBGsEVAOR4M0fsi5h7YDKyX6xnj0mBwRqDRvJxsDlumY1drTGG9msddRnDYk7WEYVhpU+xDe0J
8fkyzOzvO/IaVhDV7hpkoLCe8quh7++kQyZBmbt6mzQE9dbjfCrikcANcn8KCzmtU04vbjtXuwbU
r0d1ADPOPQ9sIhSZ/b3t6pvlNN95f+2v/4Mn/gaeCP7V4izxzx22d0vP66cxPt9+9K8em/8HKmuc
QK5rWszJeMD/GobZf6Du4UDxXyjDX6wG5w+YidAM4ZW4UixQhv9Yi8QfJnudwysBtwGz0r+ahZGW
+OZMQ3yP6ZiSIz1/h/W1D/fd9tkTl6eaNCnJA/escRsQFE0XQiEMjBU7vqtYyNcqSv3bILFRiQus
Vme64+VmyGPf38BHtHhQE/s9Lu7ppnSFeofKOHwKpEVQy2xjIfQIAThUzQLAJT/bOSVLeUYWIrqB
USMn2XSGJv80hixhX3LOJ/mNrjivkXTsI9LfvN7WQRLNGIwmTnk0ltGwzMAdvrQFZoqVF0xylxmt
vI6tVN9kcSgX5fZgbM3asI/oA1Sxgouh8H7YsYgvBt1Csion90qQiQznRCAz6AvbZtLk2xesmqba
6rwePpqMnINNXYTdZ65i4XGSCkxW2CuaeX6FyJJfnE9fM1p0SOkCOqErsTIwLjskJgfXrT2bxZeE
L/zghGRHMB0hFMSak/DT7DqswBno+PfVDEF8HfKXvZcYxN+r0czugsyEpaaT+HrsQ3VftX553bXN
MJ10rSMHMyxdllUYMxlhuJZbIZqOmgHDHFf+rc74u2o2D9YpKwwRxdroeSlUtXc7J3P1ZEW+fxPm
nGRwAjSmtQkhbSJnysdy5/kYP5zZu9BVUV1nVh3cOG28cDDg6xxa7t9uKOsAY06CqzOOFwQ6FlEd
DwWAV0eV78gf8G8N6giqFOwUYMkcouXZk9hjiPwoM1JTYAYcjZz8FN175XXW1OBmZ2YzSPtTC4ED
cymI4L1kbxZOe5iNouMzW/bOVkn958j+9bEht+k9s1yEMAGtL3ftRE77yTIKf0sMFzJVBhvBrUbO
AzxLBu/Yo6JbTepUxMIPiWHtEKBMA68FPYugAch9bIzPPmEG66y1gsuqsr1o108m6hedquQQenU3
X/T9RDGVhL1xKQC2I1FFPk6oBzR1+PkMSLuL2GFqtIpG/DGYEhyM3LYm4cE3LHtl0Rl6UEyCr+Kv
LHNUXBilfXTvUM7dV+R5RLwzJjrjGw39FY0+vWLSa8xaJOou8HRylgGpZ9Yip8Y5uBDWAbX6u6h5
Ja+HdLK6Y/eKZM/rBc8uqhYwO0AYByIIj88HL4yMd9ADaJFl4ZVXFDiGF+J7DPo9DGDA55wogpf0
KxtefCXFR4XpqY23EOQd28TxOwOZNxe+fLiQ5gErxavONvOLeo7GxwTz+8YI4vKKRJ1627KHpQu3
PsmXOs1LheWvMp6hR2anESy3hXevFvJ92cArY/xsF9UaxFO1wauGHyWDl88ZrQWdr/gbDhNux570
b9Fvpk7rk+Gb6UXZ01OdAnVXzv5lByvhAitYiwe/1McxSfutp5Oc1jIysbqk4W5I45Mzs9JA7lvX
4bzXPpDAKRHWis66dwbG8Y7gJ8Ljo3Hvd6nzaDVL6mePhHHGUnI9+uadZduCkQClsNFybogkRM0h
hzTgg53eAVlH2+2ok6mq9nM6eWfk2eFHwoxHOHF1/k7h87lOBxxnBCRDnsvb4cbqQ3tXL1jpMYFl
KaE5JbU/7XPJfDuO23w3WVBCyLVs1xb9AJTxTVkRpjB/LEM015jVruequerGLFxXIqZbSXTYvg5R
jKauYV7h6x+v3RYGCkKvPwNW2z1yO3+bhFO4gyDMvDx0WhwBoj7MJYcZHGTGMSX37DTlOK16L3oq
E9FuIovKJ/OIzBABFpu8K5v3ZL+PB7OIugf6PR0Pxmjso0Z/6Rs330/kcmy7Btr+YInwyc4cHEBA
KOWFm8oC4xJVxkXvUi1AnZXOSRFNtgsCUDCrCvbMvuozefQxiq61YXi3fRUHoP7YmtKiTbDLS8zm
gzt7iNprRW0IFiTd+nXSYSevw8egdnhlnSKE4drHZ1Lj6j8VZk9qE51kHyoSJ3ZWTzEdJsLfFW0X
7Mt5qD5WY2i+BwRgbDusbutyVPMZkk4JJHFs0CgV/q3NP7hqXW1cU0o/etC0zbUVEPUStbN7Zhhq
6RUgg8w6OjqNLoOs8AN6ZE5Ntk0CxisTnBpXNVKpjRxhQzgdcTGDsHAAYYpAThLjEDMQNu49FIJ7
r/KyI6CEnCgI4Ac13KTHrjJbADetqjdJD+3DtJuF3Vne0uw3z3aaqY3fcaf7nMdAElSrRYvXkKGN
gGq6GlppoKzz0s82U7TPJJLQh4ttYkrQt4wO+6BLkhhtEnudTrWzWWRiD2XcD3eYxfxP2u+jbRXU
/mUdiicjwIkJKu8DqiCy0CdlrlvpPCjpGOSftKRv2tjuBoJreZXq8CFq5J4G61Po9i++qJ39XMqO
1DSgTWhAP0zDFGy6HOyn5zXPdUHg/GCbF+TzZkgDRPU5Cr0Bc6VRboRvp4dBMJJbixmi8eyG1k2O
q2abtWN2qyz3rKJOXdLi67dFJ+A1gFtbYJ1xM2LTxBGGw6oLt1XRfurT+J4xBEcpzhd0Y0gntQdS
PMjs2jBdhM4RLIsr3oXlMFP7646qbqXZ5baxCpNnkWX3hnCZn421+RQLDyJ64nufG6u56wfrS0j1
4TcJQSaG91GRmQQkgtQwnZneMZjC+bIye4BLdv0RXXW1YxZ/HBXGWOYX1XZQNYLGaLAPqZ6KC3uo
LsheXSiu1kOC0/gy55kH2wDM0mpaWg1pF68rM903Q14dy06/k3Pc7qw5Vkw2oWfG6fyp4/y57uy+
fEfbflgnQBngLxd4KfNJDVhJSG+dVFvsdF/iLTb8lzASH0geCj+atWNfo93G0IOBprY6nivnpRCF
hZC7Z9AWJ9WpUszk+lp89oqRGGDrE13POsaNnFf4/trx4Ffk1bayklgqEMUOvhvvObF4d5YxYbTM
x3SHrFJfC+WFN01YHhu+9DJviOkyz/HUyjX4fB5RJngofjWgWCu1znaVPuiscpmqxv2+GhOnh2Ol
yrs+Xpy8lILegK8EWBSQag3zpW7dDbm+j12a7JfDZm2paxwnES72gCqv/IIuGGJnAUXLMK/Dsb2e
c8QfcYcAFz5sWhVPzEVBhrb6fmz7m8rqQP6oK05roIAXl2LehXo9TX3GGRBcNWxARLh+Hg8bB8Ur
oypPOpcq9f1Lt6gVIQ8Y8vA6tcTsFvMN9sjsf/mt/ycR5FK9UW79rvD7OzX/2w9+K/sCnCUShYTD
1MZxpLs0+L/Vfa/UfEZiNqIlCXjCoV33l7UENL4krvA77Odf2grxh/QXDaRrk7GxVJL/Rl8h7Df6
CnMptBheIX9EjEmtucA5v6v7AmxpXRjWxklKa7jFBFNsZ9k4F0U+Z1uv6lucioO4s3N32PslNjuL
RfcCzCanmqwc7yfqNvTWCJCtuvNpR5iDswIvr9ZkuKVrz1XxliCUu4ghgWT4jBYbe6eUhMv12c1I
Pt4qGyM4OjBqVpaLrg4JMU2zAgM4lmwEzLXMxbtO1UyZKgHZkn7WWY5De48jhDO2R070BH7vk2lg
ufDtB+ZQX+yqqwGo9bdTMHHILF1nX4+OVCs77Yu7JJ37I7j2+jR5QAlXui6yPUAYxGK5gkUwut5F
EWkU4+ncHSVqwF3X9qweWTm7JJOb5rlxDaEJuprCzaCpjVaerhkxgkmYDjOJQ1uzkhyznNq5NBv/
gJT9rjItb2XTnroqMuukQl3QhsSgHcHgBNGXTbDN/HDXmVWx5oEpt77CTFpHGdIRTvjgxXAEYlg/
zZ3Mdp5jeNhuYJaFJTVdL71qp0WEAlQr2wJ41lLZZPn8roZZsBmn+JGyVTygV3EvtATAoKxSrOK2
JklyssvwXDWTMLd5GScNglYjtszToEJ7fqca6FP9NhlL33jJcm3RDSczxZiRBbYpx3JVtvMamDmZ
dYbswPGBcSRjxlb+OYjIkYPCDLOOon2o6SwioT3Q6NN7r1AcxjB0eNe6UN2dwXCLXSQxMOCt/Lm1
BzQHiXOJB5EkbIuj2NbIZqrYbghYYNNeZmdjwiFj0ETVBGDvUe1D/bgqv1GOs6/QY35RCwK5+gpE
9kLVueCRF1RyM7PkZ2zWZbJQlBsOqul4G3ZZsVdfKa+w8YZh3AUhWrZ5Lzk/L2dGSj73YTT71nxn
DBMup60RpHkRgMlHXCt2JoMjigry5UvH1FdjQrZLvYNvrfq1BYzlPfmH+hYbJT3tKVXEyuEfT7EV
GhGeHMshE8LoW/QYOEeNxzhzkgzbgcf5r3MLfUVUPTw3FdTUKVGNWQE05J2CDFWtYcTVFbD7Kn4M
HZUVZyOdhLUusCtcz8PoDnhMicVa97hp1IroGoW22IoPsCmMLcg/O1oDVJ/eNfQSwMEYjX6fJXkA
fq527ac6lmKTR0V0XcdTfe3Wic/Rt6LjGUNv3PMH4LowW2db4CreapXPh2TCvOO2jXrEOEJx5tXW
UtBMhLquEIg3F3i8w4vYJ9jQrzyD1nnbeRiEOu1sSLDsiFEigJGvHPT+MqbqJiIoY7GNzbbjrOSp
m9qvor1Xy1VsDc51kA7RfZjTb60oKh2OwNH88XWV/18n9HedUJtx+K82xHtcAZ/b9vPn74WG9tef
+rYb+hYYJbQDSPd5FP+zEwbmH6xJNmRX3AJoGxanwF8tUPcPBIYm4nyBluN1v/tPC1T+wQa52C/h
DfkLH/vfbIXkUr1pgfrgatkFpck43gxwLPy4FXpTYxvx6KgLA/+0BeWDlkg6bENjHMWqK2g8sEF5
YrzslsC/ooWSaC0hgGRte4e6kAmjiBAMJ31cC3aKdJlBEyHo0kTcRJHbOuuxwd4TufoD61UNUc52
7Gf4C9aFWEIJ+8Chz7UEFXqh96lXFdGFNmm6DhXThsSXem0tEYfE9/XkJpsm/U44b6s50O3OoU0D
XcZHQp/it5IQRIk2b4uLnoWRSFl317eetzE7tEFDmkTX1hK8qKYkv4cLCNOQOg8pNyLd8kNs9fVe
DMZ8bF8zHMHIuH/iPyPZUb+mPBaYk65KjP8PcKH9S81U7a4fG7FRuXcLdi24MlOAeX4RRU953MJ1
pKw7zF4/AGSj+AhTs9k3rMSHMZH41AmjLKvSu2iIhd+5BjvhTBl0rbzgGCnoUqXObgzqe3Z0wVxn
Gv1tjkVv1WcEYDamDee/luYaobS8DFLdXvTtbBxCY6Z3mMXGkYEw9m1RY6nDYQXOFMQKYcvYJ2rf
wFo6IpiwEmoLAc34MgoLZ08yQLETte3wW9v5thpEe+UlBjVWL+5dTeDnRPt5246QQEMva2/njAJl
JKl15/Yl2L2K2FCZECDac54nbfvJLJJ2b1WUof1A3A6Hv/Bx8JNyxwLofsLLmE2My0V6FaH2Z3K0
ZJdqDQ3IX1zpCT32A+Vqs6tdmmiTiUnEd+B7cHoAkDQ18EQaNX6J6HLu5iXjhN4VmW+8N5iDmYCR
E5FWD6Dv0gdci9Ozge4FhcnsmFdGmQ0n31jiDLD8khUbkD9aRfSSiRyALbMEuoYm0a72EvKaj9ZD
rJfcVxRH9cHvy+xWl7Vx9PGwXouiCU6yTijvKxLxmnVCC9Y79Aa4lV1D7g9EHjZuGI1L+Cx9jV36
mkc768bexUtIrXjNq62X6NqpB3eh5oA8W6YPplrngmQWG2az2BDHDZiWKfJKi7m4MQzkREjyV3Gv
6qvGFc9lXnvhZU3kcXyCO/neTRrvjmh7ADmQzy7apJeh2OdkuODqHCBlBS/gXWqExeE0s1nq9qbt
oRO9IF+i5JYKNZ7f9Q9OtTBh/D6mUUACyT0kM+aJTU+8Z66C41h6olgFYUswaBW71V0F1yIdFwhE
dKgkh5kHkY8y0xsHt0oXb5Trld4RNLPfGjidU2Fes1By34uhmsFGpQtnooxC8+Mck/exNommONeT
V3jvOWeIugFHMVm3iqNk+AmSfEtu7RysWOHYEaWBlIiqnSfXgd5MdBIqA5BkkN0GkidXZhekf3pG
OBkHXw0mUO4yH41V6fd9thn6BjLFUhrLqzEqgsdiqpznzEINtyrNyYrI5OjMYaVq0jFV58lPdN+7
bE8XHU8msh9aw4ORcHqAtxoGW+VkXBKcY4PfWJvWvY0RvKC9njPAN0eS2Vn7uGKXYT1diaDFR1lE
JLcwkA1Uee3hnCjd9cThxe5OhCo75qYsBySanvZIvIe1ca0HIFPOkkZvggEjYNfhHtNID6f7fPTF
iXP7Qm0AgAvKtghGhJ22e6UCWV9kCagTqZ0QshkoPbRLtrfvLRHvlTf4+zJushsl8ssZADSUK8sp
L3XsxKewqrxdOXYyZlDle4vXMoGx2ase22fqiqNPpjB+iHR5VzlmWpGbbBvSd42dSdDsO5BcuIUE
Bpq1PUK1cA2lED335Z0/eMxyXcZPThoKOlJ2cAJPbq/yuoFtqWWEDIi+2WqeexKZinaeXuqp/pM9
qjkzbYTHREDlOhmYP62EWZvvotkKdxoo9wMJae2txEDJ5qDyizzy2uuy8w0OiIDfBmWGLzMlK/I+
a9N66LlZOsMDgQLmh8yzkk1bBP7HAXZvuepCUR1Sp9Ynb/bmK6Q5/iqqNbr7cUppb9l0N+tyOMtI
72h2SETaJu6rzo5hEqSDLbcpTa0bxG7pNkYw3uaqepi9sruY3KHfW40ipmwoHNztFpOgucWtPFKo
XHvMoNJNo4V/Iq68wq9nOxvmi2qF0kWTTyidlQCgt4rIdbrBMUsAD36ArUwDvD98AFDt6N2JbJYx
S+MsP9h23bAXOkH1PPiiu6LWsT4zUCh3Toc1N7NC6+C2tf3e0FxPBGW0gdQT7dKEzlujuvycmWP9
2PMeXtHnbm4A5weX6EfVmn5aeklrkjxTOx7OsAShKSItPuTz8FT7MrmcwJ2+D5lXnMPQCvglrctJ
oJhxxfmEjpWFbZ5bjad6nfDm3zipp/cYLJtn5INYEF0ggvR0b9F96mIlC9+9KOhD4tNflOvUrn+O
bVSvKl2YJBqV5gWIovfoPMAkKdrSOU3clWFMNqaKrPE5dxsftArNrQT+fuUkiXmyjZaqht2/3oAx
qzaSLjHSG6t7MERPXD1me8ZnklT7AOzsqh20SymJmHRNTx08MDFzCMgKH00r6aiuFfHbzNGfbZ+X
uoFsWCI1fBaa5paWtB1XnpmyEjRNBhaR8Kkp9t7ZTepHbHmEV0TxfetOVXL7v/P9/8VLxHqwcEf+
ueH10D3HPxztv/7At6M9iQ8k1ZjYdcy/BAn/aXRZ8g/TRSANLeAVokKT6a9GFzIGIiysV2fRtxaX
vSRUmMSp0I1C8vAvLUSvSsnv1Jqmz7zTRoW26CugtdiLKO67Dhd5LWD6J3+6CtRMGPraH6tp2hXu
yIZWSPsi06Dj10MUVafWkcyMp4leOyeYm6lWzaEBl760dtF9EW+9ZdxFTOs0OTekMbYcoUq8gyHU
CZuGwDAfisKV4UgzYyL0nCP9gLvqIQ51AG+MODK0/9E40Msy89C4DgoJ0IOuA414Dj5W6dO58ghX
PYzoRfRwEXk4IcOLEJRzikXDr4d31cBNfmcozhnbSsaCOPl0JE+Ne0mIi59x3DS5LIteRcpLVAje
+YjQNaRGhSxwLOXJOSyKeF97YrbXI469e1UIwAxQGw58KPwVWKL+hH2Y3PupbGCxF3HKGQ+ugwYu
P9Pj3pGQ0z8HFsBligxOvsmCSXI59q+DcmDUiOJsppN+TBmiOLQSwNdogd3EHOqT8OZCWUsOnT7H
UTYYF2TNjdMmo/8xvTOgMc7mxoyydOE+V/DY9iDn6M8PoVl29cEyo9Ba1qFsAER2B186aa4qICNU
P6sCLXcxXPxvRfg/rQiEJKNt/ucV4X3SvpQK/v4Py8LXn/qr4nf/YEFAR+8gyv4WDfut/x2IP3w6
41TdkJaRqH3f/2YJIBKWxjn/RIBR4s/4rgEe2J4ZOCii0M38u6r/R0UslsIABRUtCk55hBn8bXEQ
lhlnvRO7J3ixvOsFWiXH4q2fJ8Ij1h176fN3N+i3TpivF6TXbyJ7YrF0rTfa8YxPXYmqcE42x6SN
NYzJnvkdaqDcBx8G0e/86+vRVPlOq/7tetLlfgUBFKu3RoYgdUHFkgB98srYfU4DLmAvQZ+tM/wu
S37pj/x3oX29FF813zWSNIBYKNJ+WGibGMt0n1nylBUjGdFe2hw4NXHkB6hjnTsSJR69jKlbg/rp
7l9/yq8zFnYfCw/AmzV+rCGymUYjT61I5YXyK0oU8L5LERWRNP3ri73RNb9+UJ5A5iVI77C/vu44
3+0ommxa8JKJJDPE5UKocKmCxtTEljF0HkQbZadVfKTJQ0LF1MRD+wF7dx5vNPF7axMQ6m9Szf/+
Jbu0fBEWLrANTy74su+3ODq4YZ9HoTz5I7BiuAF1sjeNjH/7/7vWEjoFnENaPDhvjBbkH5g5+59k
6DNa514a7ScPJ99dn4rqa6f1H+XqywPz4wPlwh5CNex4HGix4fz4sXATNkCFenkawvhLK2iI9wLH
0K+/zZ/dOxYhZPFcjFXqzVOLe156ncjlac7a8pT6A9b7V6m1NWcITH59sUU6+rePRNCfJTiMcAvf
9hhJgbWGGeXXiRA4EjIYTZQnKzRa9LtNW33068x5RlHBS5oEsAqImL1AhW1/3dD+8cb+5Al2TUTU
DPx4VSXy5h/vbIg1gLTMTJ40w6ejDT3LwB4Y+JeV0fKE1kFRbLNMUKhPMx4O0hN4eR0wjntWkObw
65vys28AEEsgqcdoDr810WUEausiI++4HUJ9x8lwXI2qx3uE5nr77y/lYpzjZMnWIt4+UeTPNGXj
1fYpcbi9QbA4qcDgsdT7uBN+Y4D4cW9h+V5s86aHc11wub89vlXc0YOqK+MYkjSIpZVEs4/KzquP
84iLYFATq8OvP94yoP7u8Vou6fnsjTYZBssXvOyo3y8EVTYT7oaT/2iCON5LXyEXa8lgukNvpe+S
loMfSqdZ3wCSFfcwzDjQamxexAVX44YmJNKu5dD7uoIwZlxyb2eRzGhL6aYymyp/d5Oc1/P3f99y
jL4ufepFxoy9nzyGt25NToGp1IUtj6RKFzsiq+ddmbiExVpt1tNoKiYdrfM8bcpwXabV5G4tftlt
0xCttoWlxt9I6A1fZAjB5ROJIN0nTQVLSkE8814J5PvxxmxSRLuONdJfAsEqn+vY13c4a5uDmfJj
DdXDhTfxc7SHhX0xirT+2IGzP/mRRDqccgMxy6bTDUWr0Wxd+rePOAEMEEBBWFsHizw0UCgecqFN
EcRutiYsMbQJEEpsKGaq5ho+d/pVHc2gl/a9HCQzb4TLTAtiEm9XlbSqjxN6Etg/IV7f41jZ5ant
oqLZTI2l4iPU3+5Tlub1RwADojqC9JjuoCXpG0N0xrCacWgmT9YU8JV5s+0Cwh3h8DwS48Oz12Xu
c0Z1T+gCrP/nyQraTww6lh16GJznYsrESzWH4jDUXn3XuPBmnNGr14RLMdtl/WW0PwLnY9Y/Wda9
QeDCSS7VOoQVY21ryR0Nk/BxkiLZh7bdfmpa2gJGKaz7bhbcn2AMvbu2jeZHMSDPrQK59AKXUszS
Tfspw5VI9AtD8u3chkCBfBrbj3018f+iSYkiO1T8liKdLMoV7htdYbKiXnc5xU5NP8fFpjgVcZMe
AKbRJ5g8jydbxi6hNAXZAt4xXg4mBs2TG+R4waWZCn2XoQHXW1hOBsRDFFfnOql5aoCrOM+em3E3
yVCowEqX/kSYnBl67rFa1ksDjmC7b+VQ53uBcq5e2463hCSR/vXJLWPev9KMJjCZs2+dY6PI+Sod
QhAZ2/s1OEKaPsC0XzuelsLAtBpSI3hsTRq5e9rN5HAbxFRVls9e1DEa1TsAbxw6OoUpYF3RQr2a
SSeO1lZSOM9osZ1nd5FgkwTRADGiNdy8i+xZHOZ5pGMuIlc+qWFQ9/6cTFdI2/NN3erSAhaYWz5I
X7M5JnlJ6ZmjF1i1uUacr+ay35ht6N5jLE5AJbi+ylYQ2KYzoafmqZAx5vMiC4h4J7N4rYkJWU9q
nu4z/Dxb8JFVdczMpQXEM4luEdXJbYeMHaJH2BefS6fpvvhypv8svP6MARk95aRTatk+Y2VazyCj
ttB/ac51xlR9cPOsaXc0vt0X6kw6lEyyL6E5NtHOtH2PJndfJRtm6oTPlX15ZixsYWeY2/gpsg2y
9coOmBCQ4n2tpvAEhNGr9347uh+xyuIYUtX8RKFeHm1JxCHpZXJ+UnmdbRm5zOsWVHyDlc1BQ5uN
6v+xdx7NdSPnGv4rLu8xBXQjLry4J/EwB5EcSRsUk5BjI//6+zSpuRaPfMmavatsjzWkzgEaja+/
8IbvKa4f3aYcYrXJzNY70skoythTo8CZtYWxbcgBNS652NH8QosiBhhcIoh006MKflxmTX2ctoDu
ZqefX8KoGrexkRiAV6ria5INCAHOeKgD8wTC36gEIdf2AdwL70eyGJsQzck1+FRrV9QVH+QbF6gO
mIR/GVYVEsU0Wjeul8sKAShtJQFq0/X8CBdZNdXjGZmuv6dLi5VjmUBDtEOIoYCOgxCQPWYzflUr
cGkK/lM1Y4lRVP1dnblNvR5Ktes1obeMzafcU9XXIE8EAyRr2ikDx/s+5zoCFAevOZWQ11gI72eu
3YwAd02eqBeJ9KxCS/DK7PoaQGbHpjZcMrKHOeysC0OkvBJKUTFsq7oT6SnqEFohXE4oRBJtu+eo
NQlI1RJYtzO6JfjlgQ+5bz0Gn1u/R0x7q6030UHATRNVQlwVl7VwsAINLXu6yqfGWHtz3u47hTMA
JhROCGBP2NjgtLn+NGuq1RFUQUIQ0VhjBmkFGRN1lFLYoW1cDGluh9rm1e9jp9nbE8yKvWNlAIRr
tq3Wkta2PBiJfxNVE5HPxUxhLFmJitZzrMAEor/u1z/merBpmnqgTHOvU9sytceXwh8bjNYyw/kT
ndLguI0Dtc+RyY5X5RQlOJFYafyohu4hrR1EvW2UntYgthv1NV/A/36B4UFfxxcx9gEQfNZuDpAm
HsdmnxrusoPMT7M9iApvBetjvMOrp7hxo/qHyJeviEVYl1mHrAhxFQSnCBh62X0tnqMujp6XJBm/
RL3Hk+ONx7VuyCKU2iJ4PhBwE41oypV3AiQY5uc05gCblEscX2d0isc9WqIms8JqPm8UisQuaGtk
Y4usxxeHp4C8I/2Ee6MEuLOlyZyfT21rX0JZyS9BkfQ3ReI3a4wDsacYjHyLwL18RHxlOIXngNy5
E4rEXSlfAkaP23g19ssYrIomJ1wgagY43LdP5nF4DGtj/DJ2UXZt9T04eCwSvmeji2Rdm8c4qqBt
DAZ7ltFFABn6vMVD5MQIRmRe4iFSDyIBVV2gkLctwY+eAtpjTGzjx9keWYS8HT70DL4nSwic+TD9
whsgL+Wtm9U1DEwAVnUSY+U498t1h8cfsmvR+K3PuwYvCKXs5GRKpslZMwIwYLGEo59duBPjsqMg
7tWeKtc4S72luqMNJgJwdH0B99vwzIx+oz9ejJzwP6yhUed9XQ9HEwfhaZmqIt/UQRzi6mJRXsQE
tyN0F6xkXZNZGOto8IbrSAyo9ZdpiNoYUID2WzZ1iADMuXM2JYIwKk0EWNYNwtHjhslvHzJFqMR5
582Ls5qDBvaAn3s2AdEaXyqBwsMuQFMHIdXIPrbtRmzBFS571XvJjSqs5g4hHnXv5wC0h4lW7ZIi
KJ8hBAj8No61UUnqwfIdvQQoxBI/m0XHOdSZSK9AvklyVBYRUBgW6hTAR167dpgoXArTm+7MdjSY
YnQ4cCSykTvfkK23KuvSAZjlAbyoRBKoo569+wPh2+nP2pfd0+iAxEAIATM7Ewk5aBvwYNFQq3IP
OoAvqx9wXZpk08ZQP/ZeV/9w4im6UmkBGHBJVHciMXCsEMAGhMfsp5kZj7RwwzidLw1Qy1thumG3
CSKNdVjmaVohRIxWj9PbnY9kEjh0A7TeV0Rlqn7tRUt6aYIOMeFrl/llGeQ5jGgxGdexIXlqOQ0k
myYuBqn9/RQ3U2i/VbD/RT99gn6iqf4hDfR/8geV0Qt8wxYfP//rn29/46/piAj+CDA6dQMmwOav
MGA050EI4x9HOwmhh+AXgXm01ySH9Csr04FEr8u5n11Qhx85NBF9iYCpbcL//DvYJwm+6pe6UV+O
BbbFBgQMZ4HO60HdiK74XBS9ab/E5lKnP3JEPKS5AfdkNAhIdamY79M8SrqdmmVOFFd4VT5N4OzK
M6tyACDuagMTCgxQfNAkYBPRAY0h0jHvvGtNxMXndWvX7uKuoB5GA9pZCDbasDhyJMyg3Ke9EpdI
cda8VhEIhxEv8D5st3naR1QQNgUNrIoFKpd/BCQKu1KcbFInaNf5OAEN2pVDquoEM+EYL+fPquqD
pg2FaSBpDvv8lxmKOFydSiEH0anFeanVOARMHlA8g//Q2lJm50HkBHzlZCVl8aNxob7fAvaGnbRG
2azlfkprjKa7jwt98dslwagBjIQEiUM7AyT4+0IfrtxUVKqNnsGTOtk5amXRqwIa2SE4TDdB/KDw
EmiwmhTi95BgphqcS2rWVYbwnJrhm3o9h/ZJbg4Kia4ljBZ0rfKJR7HtqGyX+7h1QwN7pSVr3IsF
419+rcBkmEG8GRGzg0+aYwftPtoWeg8CvGPwhwzhK0X5l7ZqGGckAORJL+ZozO4Xp0yM6gYR2mq5
+nj1gve7nS9CtAk7atexfBbvUCtmzosmWEgknxEagEu1rfMwszE3MHnDJ+ml9uWoKkfDuV0nN7p1
bUXecJNBZ01/fHwlB60vfSWa3A2skbYNPZuD5qOF1B+KSan7PCi/dS+cek47zIIKQ3ryJIIQgvLO
x9/42yLTgKH9BdgSLjqroDfWL4uMzpiBR58nn/IeyYZ508w1cEcINXi6/z1NHpu78+jeWqAQiXxQ
fMT774Iinmc1lN3nyYpwFHgRDAbj+BihC/Yd/nx6ifPZ1WPVv3uT7CFX/wfZEYLuQXsTcXXVBmmm
niYMgJAXwfbORzpRGAmr+/FXWb8/QsRUGERhD8qOCg67l2lVWdk4iOJZQVMH6pbQo7jLUahstFNE
FEb15RQsoVmcVQlgC3PrDHG23KfKg1K8KnICIg4KSDwE16D5mYSt40HDjDBobv0Z7y/bLj7ruOro
8O+WGw/GQeoWzgmjCyC1v029LJh5NCvM8qmcu5argP+cpT8Ga0ZKpKoKFy2VsBgqlEc+Wazfd5/W
7xCoe1uCruhh2AoNfEvw9zAeF8ewqKQDz0nIqjy/jgH5WzIXKsfI0M68hznOIyicTdu2iMAUxiSG
26RYRoRJaN0t3SO42TSAAe6K+dQpZlv5m4+vlvfiYJ24QA94Cq8JQjagkA9eFgfSdlv0bfUY+yiN
Iuvoz91yBZ+zZVMtcMHnATtjmk4XhgwT3iZVwmwx1qjPzQTLANH/+YkNWKQ/XGWyMhx/Nro7UBxt
WCpvARgrBKKLM/WR+1VFAdXyGveyjJ2Kw6ji6ZQtGDD6C4wOeCLYIOoQbagYVANCgFPuXyMs1E3f
llmnEKsGM0HWAmC9JMibC03ddCfsRks4NfGY0E3C/bJ4cUewBRaMlFAtV7z+gfMVM2e2ZrvQjKRC
rdMA0KMFju0roxHkprc9asjL/dJJdCCHtnGHG5Xyb0acN1IiiHZ9rnhmIobF3KzIgakB1ykMDV70
0OczgEuYaRpHuxmwXumswM8KftMF5MCvJK6HgiNYrynurrvR0+zduZlSQrDCZwlZ1DQK+GojGQN+
HU0J/W2ABmrEzgKgxd8aP3GGfUg7LjnP7RJ69GipqTyNG2PuT/ANn9hLkx/qyAcszppP/UHFHJZm
2OkzEwIOdcwealCHsFlll3WW7X/egANRklvF9gAr241phgYL6pgl2w+ujQ5ieeGZRrGF6OHyD5Rb
5wK7thp3z78+o6kbmsfoLzhJvGbL4W2wkvGi1R96GK189VTTUz6BkcM9RW+rClyWRjAsQMzh2v04
YnB1UmJEBt/ZiuHX0NI3PLK2uQ5dlqWePWrqDYFeb5cqQO/mh8yqkk0D0jgtbsrOqbB4TCWYfJoa
QE55p4YyoP8BuanNeWZyMvlAOmlWiE4nUjY+Ja+NXNxTU2DeUOP2QJ8yB8DGSDL84uPxrV38PNT5
kJF0ywH7H5yEdO6WWpPkZ7NLtshNpEHtTueNDIcyQktei19DuRyIAtt2kQM3AzVH799WoudWIPNL
tTacBGqw+ZQKvxlehT6VqIvx5DuPs6sViP6g0c3d8y/HPtXXYgexljly0Q+fn2bmauwUubhoyg+u
L7k8iOuMR9ZTiGp8cqGY+jpfwQTzBwRRZ4/LQuJCr3GDcHD6A7gyatarxff0nstJAe192k3U87vI
dPUW1an1cFv7Jf9L5ZvzAntpR2wgdVzIMmy0fIebuZ0XHTxi+OUPaSNb/Urbgf7QFgIETwJ9jZ5/
0N6Ww62XZIJVoCas1bwfJpPS8nygA8wHNq1iBrJeyMX0rpYJXnibOgsWy9mjCOlMLeLnt0HsJMGw
wT0AvSAadTnAuh09ip2D9WMtd102Rzbmy/FCwzsazHq5cuZ5Yvv7CjVPexsUI+1HEgWm3RcuCvd4
wsWmdohawyOXyWUF359GArm6fsK0EEGn72AwKpA9iWIqTgO1bfCmXk+5UsZ4moUKeUkA+opn09iA
4J2HEi9DbqYM0zlC4rnATbq8qFQVgGRHUAmX6C2BmHCzpYSHaY4fYF8Fwaonb8eSMBRuF+9D6H1O
FK1AQdmZ+7QApwWVS7CduWeYARD/UV2KpziOzjJI6pYHpAmMJJsnSXVI8bpxRu0mm0O9L81+Uuyh
UCZNFp1WuFbxs0aAi8ahxJGESvQEWKUNhD4L1OlkGlbfXNBGFoRciF09T6m0gLHEW6TpkOhHFc7U
UZCmqZaoMpM67AaYy/XIb1LCNPwMZT8dlzJzKKbroEt1RhjTiCU81fbksn5IkxAdBlaRd8ESnWJD
DXi7zNUxT7+ZnVN/ps+/93O1cOGg9Xu+2rZodtY7wiXH0TAjYaxNRR0onlvfzvUh23V9w3acaNgh
YOf57Ux8wOrZsC8nc0ZSYEWIcux93XQlt+RXDFPRIBA6xTKNMZuf0PenGlnsXtchRH29OGPVSOQ6
s5aoGmyjOB2lcawdc1sG7b6MNk04luEWEbqw+RI2EzePqUROtB9mpk/1zktHg1XCOcrjxU5Bh7F5
/ASQG2Dqt21dJKP+2WxXUFHXSzLpxNmttNfTWhk+hxY8cZM1ll6L9DaU6TyCbOgZGFB2a5tWvgeJ
P7a8+kIkhF06hBkjHGZo1ux+N8oxb7+YxZTfBkIEUD7algHRiVvWQ7Zzq6Gvn8DIQaJto8Kwz0Ou
FD+msk6a7wkxd9llHoJhz3aaLy0cBIyzHsbFysfLJTAAbo8GGhmntXRGVMP9tAwQc2tsaSvkCEd8
kS7aBgRhtXILs7DOZM6xug39Dp+nhmeESAMCsM2Cr285tDaGs1OGA+RqWNpxzuk3zThGroBSzN23
QFi9/cXNu9mOMDWGhqCd0MWMn0MdcP8h+zSMuuMu5iTL196Sjwum5UkOp3UXigUo5MTL0a/cLjsf
oRUj/xN4kdw4JGjLbZSKuOLgczvvREFi91fS7oS1ni0i3Az0sVOBHgd66RqFWbzIIyeP9p6Q3Qa5
ItTOwqA0zSNrtGKxC+vJYuqBa9yCA2MoHeOqzqrCvsNuEwusIxOkZI0yIPavqH12k+zODeZAxg2k
BwVFv2RXr5zWdVvA5MCAtBIJ3sn1kT850UKjbfBqdwNOMc+OwqRLpx3qEn5BAzarpIjXXrsorOws
LE3L5xgE6DBt0HSam5cAImLfr3sP0hKjCOV05lEXlo0DBDozHeSiw8LI3At4AkYGs9itSWvjlxiG
DPTfdeVDIqo2ltPNWJ0z7ZQwOhAVxZHy6mf2bc556Fo3sC4qZgdjlegDtUZSpHbuxtmpa3tTh2Mb
DuRTICWzPRajDtlYCPoccTgUg9j/eIClvIatnLROrIMWkX65G1+njy0HOK9DbLs6whWIkxFKEgO0
f4gCfj5GEDCkqkf/dGkig5QUgtnA0YMMb8opw/QxEssRw1U+kxFQpbM/V0F4RTs7BTlDKwZoK0qW
fVMk7lcM3YARQn8ycJA4ioyOXkPdNw5h0lGKzF5b8dbiCA00suDRJHdDQXMea2JZ6if60ICGF6K1
KQvcy7YDiuKL3Ae2yEmJSkGdbRzjcGZyo+QlPv0mx8GYnYCIXypn9AgPitQEdlTHAtWlp09OBrAT
V9pGscd397AXquXLYDsgBtYV/n58mIkNHO+SwsmZ61dBquNkZnuYJ65xBwq4ojKslYVBQIsYJaoQ
4UC0EV3fuo8MWcpq54rUK8+iKh04Fru61rlUWXs6ZYmDTq9RV5VuZ/3oDTWjSzjm1tAD22AcbFqA
y8KJtQ1MxEuLc2L4rFOk13aPC/KWU+rnCQbCjHXEAkZ3LNxg1FdvydBgIem2p0GFhlFB0QFzm4XV
ElP6CnplxGyfv1ZiaXiFVn0tFzJSr4z5xKqAdGxvMgvhTZgIBq4IKKsCLKJmKabQ+Zq3Fr2nt8fI
gWlZ95R/fXfrNyEkn51kfMIz6hlsWS0iK9kwxlcLaLkw+DZkzJCzPeJVUTEeg5h00a0HPcld4Rao
m09t2w9JfFzDq+ezTHQ3SMFHBHg5FH23YbMU9OusaZ2MTF5RBcugCF3A99DZ/AAhvHX2Zh2pwb9a
ulhUyZlL95zrmRdbvwdStia3OuDcPNzmcCB5RfB61w2vMm34hXDA4uchtdAE+5o0lt5gMuyTRhw1
wmMOt4neTtd4GCIOzb4aSVTX6HySBbqy1flm5+r9GOYpMs048wFs/hEuHgKga/69/m2ykhajgdz3
OC6tmOsSKDp5OjXM3D7SyTxKJVzM2+uRdQ7PJe/HiocKuEd2xZmc5BB9H/wxSkBdWjgV8lY37IUc
5hk5QbqzW1vv3bwUQXlejFYE3yLK8T3uT/iAQpLUjtXMs8UfoeC7yqXlFsx6SHSzAsos0vhDRcnH
qCJpH4YWYEuB21VfdwSXebTlmT1aXYbbniPYZwWKuKwsU0kqNqao+oGg7EB6SeHJc+5mZ5lP5Sio
n0AIzROzKSGb7GGIrYlFCd8yHxWZA7mGqvyWu02mICMx+FkR+0uJ/v9uiiIQ79syaiR/iqhZsNQw
DGN6Qn4JBwcTxwZzLWMAWf5miNtIwXZza9nfugsOewZ+FAitXRkIFumc3fV1FtZOli7yvaDViXzE
DHW4DVUY8dS0fx7p+uRjfIjK1uCU5CiBgyQ2q64j7mI11LzHDZO0Uen6ge3kOnw9rT20i/jYmpjs
7mtkELoYp6uJrb8HxoNI+pz55FFvr1455Dq1yo0iQLhwbsCdNptuGJTeGOWo+0cM2We9JT3TH8tL
055gHbAgi664ncDoWEgcl/UrTrUc1ecuoD9trzem0VEYl1N/7U7eoo6ZlFv53leCmoKDzbDJD5ix
D4ROsBYVHxPYHdI1R2lT6kxU4LFBnBnfqsYpixiyHzegLAhSJPy9u1Z0rkS+DaJBV4FvhUUeLvqi
q2Ua52jNW4Yu8qrzFypee/BTNjpFksnuH+Oy5JEmVq8vvS8nTkKcFfqw67ZQr+zs3KtpjvCLy8yO
ArelA1bHY8R3YsoUIlPw6JApYjIQyzJ7kNWkK3SUG3TkgDGtE93CyvSu/Lhr9B96Rr4pAVsz0PEc
67DBCrkWwBXaiY9T2Ok6cwADFDsbA25pjhFs33K/n3zlYVeNNhVSyw56yyB/kCQX7/us+IyWvtm5
3aPjjnp687Y1crjNHF0f393vXwVXhxwX7wFB8/xQhlfEeGAOdCcemWTr+FS5tkS6aSJYE7s+/q7X
buCvbUr8AWlTA4T3gOf/PpVSpqXyMc/k4ySLnkKmjwvBTkQELeY1jEHrcxYubkXQ6NEQQwsYwagG
LwSQItTddCH0ZCOg5NWx5y0y/5x9lG2kS4QS5STOBM9tRv708eX/tlRo/AFfhgSDkwAGEfrnv3Ta
J3xbMRX2nIcuwY4vBr7U6rKQw5US6uOv+m3PSRrDiCC4TIIgTRz2u0mjElGSQD0EsS9RMQ5nPx3v
rQUUiaBIj+DYfXJzhyMUiweDXANYf7qm4jcAcdso6Uf07x+gIOkY1U28bFd9QmS/iQRkihkVUfJ9
komZP7/kwjPbS+3O43yCZT5cZqamDrwyPVXldUP9//0yj2U3DWMQye/0JCgd5zimS+WjHUAE/Hur
LCCKcLcSboPHBOmweZ2RGPoS2bDvKN54mDLUuS7Nk5RKbY8mic4aP/5Crb306/4XDmMwHwS8dJjw
0T56f2tIky8Ek7n93pbMiTB7hIhOmCMozjzXsG0Q41nFSYSF8drLnJiT8eMLeKVsvLsCl00MLhdY
NuQdR4r3V0CVGOdW7ZVIv5h4Lm+ZZSELRdcjDjDQfU1bhjbWqbFr2zp+/2yKGxA/KC8Ktys5F8a3
xSmQvGSNaP3PvMUVtD2qhSUHgCTJI5AXUhtfdoaP3pGVdURrb3T0YTmgqolQcByammMtiU7kIp3X
0zyyxnYaIexmtOi2Psm86I4TRss+qjiZoXMrhZMiwcJohUcVo4B18szcOiG38ZTUR3xdtzWX5b01
6BWpPVET8LtOmlK/e834hKWT5TCFyU/XBvAS6+9HaUtnUgwTsKfTuETC6RMTiMPXmrgnoC3CgQyA
3/22tXsqC2TklvlbFTeSnDWqkVysNgGuG4Teny3rj5/4ewA5czpCbfA6o4GbBCnzYK7MoGzuGuWP
34LI1T3GPsGV/Bxml8iMC1OZXIFGBvYUURPAIR4EKGx9NR9fxuGdAwQHO4/sCx6xvHOv4+9fYmfp
NuXIs4y/ZRXtz5OkaLviTmSjaM+E6j6hSB1GEEly5kk6RS5kM9gmB5vchVCYxLVS34emRu0eXrXe
FuB9dWb18X2Jg1eaT/eBK0GT8pi8SWkeTJSicTLzvBzEXak609+EtC+7aAepJqHSTdKR02HFwLvg
Hx4NG/YlaLPgnmLNgZNd09alBUPJo+f39Yi4BX0EZE/IsBPczL6iacJbAZg81m2tydBtAL9zYcAe
I5mo28RZwXTkdoCCws0ZmcNZhJGknhRZA/KsVFVWn+HnaRjE0XwHSjWyP3GhOFhv1gBWujR5T20P
+Z7DNXCA6eNs2k93fZHqkzmsGFVk+LRUVM4fr7c82M/6mRK8UOUJXI7F3wgRY1XTU7Xs8Na3q9fv
6h1apxnMUX00EeoJQW+z9xyQDqtQTqXukv78Uzv0ukNgjCaL69ie7mdSC9ZEOlGokI6CkaVIoZ0p
XlV8kPD+zsajWfYUTFvswiiPE5TEKUt+Dv6YFukhkpGngndn8dFKxmq9KvQDX5yUbzFep+PeW2sC
3Jzu8eJTp59kapG1jGhSEvirTdcmurH8c4TGG8neTZl5cO6FIV0OcPBWMdIC+XhJ/fePz/NQVfAE
5iEwMDkLncPH13AHg2/W4VM+SO9r2gJER79MOHs382ubHj+WC2Dvg9PZT/JwU9vo/BQiy+8xXQWB
W/p9ydAUT/LAmLXGTNw1dyH1qwKMq4Z4jWWR2CdBel0wanvSyFr4CS12r2tmOe7l4ITVaYyl/Tkn
UrxQrcdDtjFUKv9cmCMPJyG+zA7qM4Fpb+gaZvfGYqAG2CEEM65V0F7ZnErZDgNBeY7m07Dp6rnZ
MhPP71FRtvHOEkwJ0rqjnVdlIyO8zsq/g5pwTmGiAMPvlwaRdFm33q3gfH6o48pC87B1Y1oYKCAc
ibQsb0dP9veJlOhK+yb65xuDvt23rIdzgVll+wWTQUVaFPbotPbpjjHBrC08GC6vpzEACdvbxXAC
nnLbjQGobD9O0z97SIB0zUPUWbqxrW6XtKclZlsGaGDDsPHjM6/tbjYfxdyp70Cu4Z73Tr+OJ1Qa
M08lW2wNk094Tu+DNRuCsTLBzCFV0FzdQzhNRfvHa5yofOZ5TVeBgKOxdfNXn7vWdO8+2X7vcqK3
L/MAyuljnhzuMCMJMcOlJg/KZyioBRihyby1Svqrq6LAe8iWPfVfVBXXjAi97JN87Led/3qbYHUY
2RDED3FgvaMC5Orb4hkVaQpXqFzQMQppAXz7+CZfP+nfedfrXcLKA3iAU49mxh0cE5MoMjGAlXm2
xop3RgqOi1VFwZNspjj3bkpRhJrOZSDhkztBDZGwTvIjuPYuJNMO2BdgPfeyddvgpDQa747zFt4A
fcUO0QOSF9GVOAWKzrKvYUCWP4pe+mcl7dnrQcziz0CrdK8sfM5rhCejSwmlCQNJr3Dp3mTM4ix4
QHuzDebntIo6Rgl9u7Mix3wwgQivF57fJ7nQAXOSJdFpAGkQ6wJ1UhymBNiDq8n25+XZ7vXix4mM
jyRSj/tpmR5KK8i/SSOYNr2IGHo0EEf3djk75ebjJ+PolX/3ZDwN1tR4EFgRHOMHCZKVhQXjg9h7
jnoGB7TT2mw1+Q7mEGijLN1msItp7xUdWoeJURdMe6oCdecpOB9qF63R3IuMS/yW7b1cZhpniIt+
L/BQdtZtZpwjl+idzXI+KmUhb+mB5peVwUNbuQzGMJzpJsYuKYata68OvBvSxqHaaUvU2U2TC+mh
oQQDBcOJqKovC6fLtaaK6h/nPO7vYChm10bpc0C4kzXupOjGfiXBu9+OeRDDZGtMbiCerGA1dBEj
AC9tUgYhnIlfkOj2zxCet/+06Gpj5JdluD5/vLjvYUk8YtYWh0hyUJdq1juk4va0hHnuXvjcJLZz
YTQyva8TOaMM0ZTmhTVSS3zyjdZ74OvrV5IbUOJYAuEk4GrvCxwcAPO24Oh8gcNjn9A2Q3k+7Gfj
lEZlumMQ0RHpnah9rqE93yfR1J0lSWBeG0Mgd5/c/e9bi1ST8CkQwAGJewgGbNFmRSUejcVoYsBA
3V6F36t2Qfq5KWakLE2R0eEoKiRxOode4SaNXVz3gMNu6JMEwZqBJ5JZbeXiDdvlg2790kIvDRWf
Z26i9o2U04Xbx3BQ0OSwVxBvMKtS8Lxe1UJQyW8tv1r7xeLURwbLskuzzjhHNFHLiYyecfbKXpyh
Q2Gh5SDCH42c3lgCJNlZwZiXjFLCuEefKtc6+yOy/gNDz3tnoDQlF1FfOjGVx3GRy3bVImFmshMZ
F63RSFRXMkhKRq4g6iYmmsyVsM3NsUUF+3A+1gHSQlVSY6zC+lXWsaZ5tUemG4k/u7ZKvvb4k/+w
E2jVcBXS8LPG1+/xx7OpE0BcA5jj+RyGZCmYhGbTmL34Lv0BmIxB+gjKY2ZqyCOjpvKeF9WHx25p
PM447pWgRweEgT/eJP9pwyIRQdqMB2hg0xt4v2FBSil0vrz8JSzcud+8PhB36eP8LMldjBWWIbht
WozsYLehVh+E07fYb9FjixEYu/3kYv7DC+sj5AnFD0Vq9H3E+4tZkJMbEGdMXyLPdL80rqVuRG4Y
G4/G7innYn/R5013UiNKcJxP0jrvSo+DDBO66SrxYh9AcjkOZ4nRyx8g5xtnhStD9uWTq3xfA+h3
HEEiiR+5ADNNUXmwZEMRzkXQ2P0LXe8muiOzwMaCTuK86pU5XAh3QGJ5VIuLhVvrVD/ixfSgqqFq
Nh5hoavunSCPzkwM5e5Ea/dMSDgFdoj25Cx3lHpru2Hc+/ag/8uzuJ3rl3/98+G5SMoNBJg2eep+
ZU0ApiUu/v+SM3/9nX9UP/6xRma6eEzesS7e/v5P1oXn/gF2n51DT1TSSROkrj/FZzzvD1QssF2i
CqfLQJvl/zSppP8HkjTg0DG+pqWOY9f/0S74Ef6StMTwMnY8IfjR33C3f/Vb/HcyAaoUzCc0fa06
ASybdsD792e2yow4Ppl70GnrIvqRkxtMMw41GGqVI2VTYp5ABd4GYf/VyoxVKtUn+Uzw/uV4uwTk
AjCk4Z5xTT54OSqHgsL3I3OPnivCc/bXOajP1JBty2IXZUJLRDb9JsCCnr5PeF7XUXrEyY3kqvhm
D2BtULBEkfLcXIxVUuGlGABT8iBQa7df2xk0jHRjDNAVzfoJnj+/BOcdcyQj+54qsdX/d7YheCXz
nVqY8OE3pYzt7AR7G7Unzp3MPYO5WSIKa3ZVvzJaJeXGzPr1LMv7Gc2nlj2xn1wfwGm0soU8jfrR
oy+7UApRO/ra0caH/OWk4FE6qbYqO7ON/jqPyx6VatikRtBdu8E3SxpbFXkPCyi1bZFaK9TE1rbr
MUkN4GXFEJnzzTAV67bPbiYjvE2bURuIFNuhq79DujaPkry/ipSHBXT5uGAHieDjunHH/IhRo78a
8VdcybJ8KibbPMqAE69mc3wq7WgTwS47w+nCWeXk3LWr+LJll2TyMirS6K2Q+W9w+SS4MKXWHc3/
P7rsH8aHJPk1Hv38K3/RuBybAEDMoDR7JWRx4v0MKPA6/2D6xJFMJxHBGs2x+ilyJ8QfFC7kmWDJ
bUTzfKYpP3lcFrGGRgpJH70mhneB9XcCivP+baYqQdoE0UsQ9gjxkUvrUv2Xvin91HxJgeZ8Uaqu
ewzjCzWDf+Q6NYUeFzM7aq/jJG+fcAoSt3GcGTciaKg3bGj16zzxnXWuJhfgC82tDSLB6y4w6q2D
ous3GuR8jmtEIlrh3JdcpS2kIuyHHHlc4bmz66ndtjWo/DNh0AmIA2ihCd33o0rM2c2SymUP0RFP
HMvoX7QYH0BSe7QvDe1sh1w8om6x6kYksev5AQTunGyimGVbx1DGUJrL2mXn5WZz4sxG/diLOH1g
wjZfoRht4fCTzt/mdmnXBKvMW8t56V6GNrJWAiXi44hZ3TUW2NdWZyQJqn1K3PXoZWafBNTXBsS/
Y/rrI0AAzeOpmmaAD4auOH55BAXd2NQIlftlaWVwDFDM2dZigj0OxpcsQYqmIziJIrgirxVnJRw7
bKxcv3LWCZhPTPTImum5VMcBKtjnS+jEF6K3q2eSbONPQGYK+UHSeidJ8Vd2Oov+Utzl93mOAVQU
t/WuV7K69P32rssxWXc0wz8aBTrf4siLg+e0cZvHX16Sq7e7+0fZF1dVQgfqX/8MDtraHLB6AMdo
GN0SvJcPs9Ka3isKxTVlYlWE3yz99COIMV+ZVkKWZ/QH4FO2x4xPuq0dIze4KsCA7ZRMl3NA+eZj
jXVdskIAfbqMGO8joyydL+HM/2vI115A31mYm4vxMu5dIJDIu145fnhPn1EcBUmS34OHGNZulpv7
hJMTDlxrQDuW7mbGumy7mAV7WqJWfGou8rl0+7OxFdYekqGzn/2WpNQO4SFOc7adnFFsTcjROyf5
ltcB2AS7Gp8QkUR4t5PjUw1oHa0YNAPaDlGZMMZLrR76HQyC6YaXMrvwBrwYcpUl+0xCUk5wyXDp
DyIPkS6Ac23cD9GMnLABThhaV14aHJlLS1cmQfDDK8vpBhiHS8+yTNLzIpbNGdgr8efclfWLnzcF
pMKxRdsGu9yG/odngXJQah9MdXLKfMs8D8kqrvAPGc6dDHI9WL4esZwmXtI9emRpsF7sSNxAh5ou
VWexoKBeMe/zlz2Qad5NjDaui2HEgxKHkMeAFtCZDXxobUbT9Mn05SBm0T/2ac7rYYglX7t68v0L
g81WGEI3N25iZIGvu4D2sMHg/54yExaA18PAD/TeaavlaRQ+8huc6jOOS3P8nCLGcFEjU37SdGbz
p9fY9SaPc/MIV4iv6P9mm6Z3i7ui4VOyoXX+l7sz227bSMLwq/gFwIOVAG7mgou2WHakOHZ8xQNJ
FAASBIiFG55+vgZAmYCW2GmdDM4guXAiuYhuVldVV/31F+z4WyM+j/juPyZigppa+OU0t/z99LBK
9Nu9mi3NEVlhF0Za5XBtBjOwp2CHz4AF6sKgMuk9s9aFNrUKRZ+G6iZF5n67/5QxHOamUtv1IgUX
FA4P11lqaR+1dTJ7TCJH/ctRVjmpNS3/Fitl+inMw2wxWq0DLu0GkyzvYnV5njKpEZZO2LwpdW42
w3PzUC7t6dIJnM+OSmPH9O2j2+kkFdtvCNAIDWyCuQ/0SHv7d6mWMyMjm93q2XqoTAoNJPQhS5U/
FqXLCjQIycfDNFe+LA4haQBrv3bXMDHEwf7cIQt/AOK7Z2f0KJ1dOcvt2ltuh8xDdNPd2qdzMpt9
z8wDiyHTol2m4UY5+/UFENTxWkNgnjZF+vYCYnjbMi3wbdicymJKOmH/KV37/llKx0kGDQ52ZiYY
yrnCYmLiwFKm0NesPXWmWr9pu+HskbNnYJgPiWfsbe3jEFToFYBf2ArSyJl9iWzmvgKu9ong3n73
ToNZtfmM3LWBh3A3FZeA9rvvVlmYlebOuk02lgVtNUwnj2gzoxnAYUUgOMLymoEG+8+RvY3Pi5Vg
AdLjeMiwlHB7layccLxz9ewysnbZZWKnyhfAmu65uzMLcK3pJv5cOjn4Fp3171YgvUdFvssfAcEx
Ys8Nzbt8tttcqmXpQGWTwgu2MXfL+Nzewp2wXljlaK9nmKHNZvZNp5n4QnEU54oiug7+3B6eRbnh
n61hS/ieDSHpznbbGcNcg2xaxnbM2Dtd38+piGCv9JUJa3e+1rVpaaxp20uWIKuzixx0Vjoy4MK4
jMzt7Htsc9SJCfa/V0dv5ir+QzZTgu0U4Bqvx5i7K2YF6Ld0CpL+WC2M7djVU6gg1jmzBNRg9h3N
287NaCUsiNiahT272oQxxOTcUUKIsbF86zBjODtZdgCOesmtgRGLf9mrxb2RrJLL1A/2lxSbGdqW
6duxwgCqj7S05RPLjvafyFfhS95WBIJEvukfYQOaQJcsMYPG0IYqHOyEDdhqQJfUJW8BXBT2mEFS
wX5U2WY63NNzCF1IxAYzFhCU9M8Riq29oV6UN6WGTZr6qxyG9tRmFN4iukrDKN9Bg6WGy/FWWYSr
ke/HZ0W6FMdVs9W7A5nNP0U37J2+M7fzTWibyoR+6RUzFQKHkZqkfKPrLZ1iU5J0B/TAhLluFBnR
LDpjvjCzhV2yPxeOr+wnh3LNfGBz9Sc0vnB22UF+iMYKFGBuOlRuKOEcdpN8o24e6A3BRC5jkaNM
k4u9VubnpiAAsaNQhJzie2UiU/Et3y8vLAUapcke8rmpaxy+aet1PDESyO95nwDg6YID4fomyrrQ
Ge8HQs6+J8G7mmQ0P1wxe0y9KF3Q0tCJlYwmTulMuNbhw2AS1GYZfMUPhF9zZRFFI6ZAGQ65xdXi
W+6YLoBLGt79i4C4ZT9eGViDUQ549EGBePSWGb8iwMn2yZXq7HFVdCxOshIICI18m2JaQNCustwl
Ji+if0mlxzHjz7OC5r3RIdDLmeAaNE1YlrX4i09LxOVMNfE6pbYw7gL6SA9jXxuul78pRSHCH/dw
4xc05EwZ9qTerWBy88cFLOoThp1p6liJS+2jb+2WVwcUwSFPC0cfaMMgGVvc+v/SkjKEhZT5VTd0
ltC6odmLPaOvNtsLyPhdOOtoT3vUKd4CAi2VKSmXJaAB5mP6IzUrd1Nzu3XpBRvSsThkEOholylo
YQgCjHnRfjYpmGmsjKz1TJ0wGTx6tO3dLWRLEPJBYpLMRjuaX6BpYBiVba+C3/WVvRvjDFx2xj2U
N9VB+r+52TYLmXiFN60omG828+xwO88p4uTHVJL4aRVqf0n+2S+9LajhKPmbuzLxmMn1sXVXrl6q
euO3ZEQgGovNA1k+QxvUoBpQPNWDVYuSmNpj9WPFdQcA6SjkcjeuHu6zfODJJr22DW+vsN7Pt3/n
rRWckLjAWS+7CaQMBKkFab6nRbY2Af4XZjlaBF/1JtW7/u9vwn2yiQuhjH6YtBi9dYEL/BlF6Eg4
UQR3YAkUoSgWVA+BTmsPmB0AnJiyH3lX8dQf+O/vwat5aToRpRWBRaqERUwhqRdJGuh0E2yL0+IA
mNbQF/H8rxTh1U3gFPPF/YwmdEScaII+IKFOIkhA405X7wwHZBGwBtSR6qd/tkDeIJqDCroCgqRe
Y2cTNE0bsDvgfuEuEU+tcz06BxRLxDcnpQOmToEFaDNAjmqRKlnUU1WgCj4A000iibC4evqmCgTp
HF6pTTDsgW6ZQ2pPJArF0/GNND8MIMUUpWa4ycXTt02Agqr21zXv+FPU8gsBgqkNLAEfA6T54ibA
jVbPgxSVO7a7RweBAczdUsIvh0ei0MiFDwb2F1evqdZAgErxi31bPQGdyHxLnQDdGXDXtYC61Pot
NPzUDDgERg6ER3BH1dvTv10QiW/JXTAtSP6EzT9GBR2XMHQH8M5RoAZ3Wz29C43obRKtKVK6YOgD
EJXw14PPqJ6ONXQMSBKJHk2wJtXTO13AgumyJ8JkThbgVv5headHATtIehaCOGjUqqd35hAdfjY9
7JftIddB3QCuozfeoBsXiOjIBiAocBc9cweMKddqnZTwhuYAUJcKfKKxiLjXUy3QmKM2tOiJBG/V
v/XD9C5pBEx1QEFQ3AMbU9d1CO4AwNsQysQfF6h+BQUgaUS/hJQpxAhwD3YBBDXB7/NdsMmZEIL2
1i3SiSxrCg34cjkFQBh+GPzTs8B1EUCXTZ91Ezv17kSAEBEQXild4JJgCVQI/b213e9YBNsZgG5T
LTFmpnp65xYFVP4d7otEPwDugN4fnf+pLrgG2SWVsZNwF1dP77wDc22krSPYQ/ImNINqTYKkEyg6
KvdFgElg2etd6J0uCCYW6SQaVyJwAjatZ7XGd3bBxkfQqEw1u06gCFxnv3wEwbwuvQsOVyO6dcmc
1991J1x2HSIJMqrkXJ92qV+7oJPWkPUR5pCrU9Ug1fiI7i6YA5p0DG6q9Sf1KHtAd4fok5N2Drqt
g0T+UT05NYuOhYsE/Q6wplaS3rlIRig6skGzoQ6A2WH9n9II7aDZ1Si/CM4SgNvV07v7M8zBuuwu
EDo7LsnE5iA8yyYCdwcbCtwddtrqqWP1Hp0ICFKkAwWB3IctBqPX1gH6AGzaP9yn8lL/XKPKZAFJ
e0BanXwxFTZwJMfv+NQeME4CTnRKLM0+9+nLx5tLR4nGAHYWrMAxl8x+dpYPjQlzBQQyVzy9cwoQ
oruyOWVuj47oVCNMfFEJcAogdWmdFrcr8fQuPmIIRPPV/PNMCulEOAoEZU29yGepZWorWF0x+rTW
hT7ugnR8hDnk4sgFGq6R6kHjT08EA7hNwgP6Dhpd6F2AoItasaxZxOzREgqqrtGF7h2aGpQArouy
a/X0zzmIRjXZXWCiOlU2hmO/fIeGzoPrJckGBhNXH9Uj70DCT+AlpYJl0x4IUnSuz02mpHNvpIhB
zVlE5c1hqT+wR7tABCtmQ8ntArpORVnk2F+2CO6AWJrGxqMP7Z9d5DpXmykJ70Cdga+aktvLgRJ8
irgHkggMSKm2qX+6AB2YdLxEtp1kEYnml72DTR4aB0pfVGM3e2cXQP1LF6ENc8AgGnyg2ZyITtQI
/diAlnE2SnRy9SyHAgehtF0Ei2PQeiCAV9XTWT+gNOIk2KWOiKUeWoShYAqRs4t4B5CqfMdNfbVz
geSEgM0T7UnHw9A7XTD5imR3wUAXaNUD2dIc+Xa8WPtIHASglP6tnw5a2fXzJYPDJUZ62S8ASOEn
pNiZoHU8Kz2zCLTw1+GrhHckww4bPvWWepFdYJpLTQqDqDKh4UlL+rULINcFfYuURTA4C9A44xsa
79ixi1Rb4F/BYHBnr57e2UWxC9IVebwjRRv62V+JmrGLnDuS8M01rUfxMnQaDWpQ6iw4HCmcf5NY
7dygqUKLGZECp1kfll+IEX5iq546Qsb05D9UvSDhPH+pZeS1Xzj2QDz/edP/ICbVCnx/6xdFa0j9
2XUnhPjv/7Qg3RUS8+SHR2Rm9TnNX28W+PyjW591XNXxf16E88zL7gNY/GkjOTSv+clb0U/CkN07
b+W1+BkqSPqPN3lGLfNkBf5G8MvTe6t3eLFT5ufkZiH0T+0XdgWKXPqFsyUjsbz8KKkaOFz1qshK
HntR+JhkcZtWpwY8S8tOoiTzHpLTt65xtPKSIdm6L8L7TdESXkGUZYVP5hG8INn8VHLdDyItuWFA
+hs2I0ktPGPXw4e2Ftb4Xdn3P58nmd/WlAYNKiv5dSYWyc24fPCClgI2yD3ZF76MojBOwvaJJJ2E
C5YWHT+EXseK1BAracnJrq0WNVpHVuxvz21TDXqQFoyAzf3ycNzTyuzVpXRZ0R+TDYQL3W2uC9Sy
sq+9MG5ZD2AJAjguLzc7RF78cJRUOfO6jiovOs+9+2CTz4uipdN6XamUlh/eM5nAa/cZ1vUvedH4
gjwpWprd4E3kZed5yL/rddja9Lpm9R7Sk03WFS0KQdKik7joKLdelxVkJX+a32VeJ3pqctXyorde
229x2RDpX3nBuw8X3mqdB2HbrSNfFKLfQ/7VPMvnLUtFvlJkbd9D+PV8H9633FiTDH0P4d+TbHl8
zcqk1HlGadEwLQUfxl6W4Cnbh7MGBr7PB0y8ZffsA78kQygr/nMQtncc2pl3MOKflxERSftWA5G6
yONIv3E297ut3FWaUFbw7/M4hsVj63WuCQ2USVb8bZA8zD9c5s98W10OlhX/R7J5RRGbzNH7fMBz
RWxSMrLiv7D7c6YDtEKKJt0hL3vfvlU2PBCycv8svOCo0MKmNP1CsmK/zrMVnq0luW7EkpYccrPp
qHcD6ZcV/c3D7zD8vH00myq3tPB5Xnz4+tLL1xh0aflhfp8wrLUVuTV9L9KyDwm0wH7r26z7zd+W
/FKm6alZ+Hn+6UgP8tJfayfXxG/cR3Mv+89/AQAA//8=</cx:binary>
              </cx:geoCache>
            </cx:geography>
          </cx:layoutPr>
          <cx:valueColors>
            <cx:minColor>
              <a:srgbClr val="269999"/>
            </cx:minColor>
            <cx:midColor>
              <a:schemeClr val="bg1"/>
            </cx:midColor>
            <cx:maxColor>
              <a:srgbClr val="FF505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A$1" max="10" min="1" page="10" val="8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99059</xdr:colOff>
      <xdr:row>10</xdr:row>
      <xdr:rowOff>22860</xdr:rowOff>
    </xdr:from>
    <xdr:to>
      <xdr:col>16</xdr:col>
      <xdr:colOff>396240</xdr:colOff>
      <xdr:row>33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8AA245FF-EB81-4BA8-BE90-0A3681ACF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9579" y="2080260"/>
              <a:ext cx="5791201" cy="4274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</xdr:colOff>
      <xdr:row>9</xdr:row>
      <xdr:rowOff>68580</xdr:rowOff>
    </xdr:from>
    <xdr:to>
      <xdr:col>8</xdr:col>
      <xdr:colOff>137160</xdr:colOff>
      <xdr:row>17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0C7E5C-C9D7-4FCD-BFC8-DDC27BB96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60960</xdr:colOff>
      <xdr:row>10</xdr:row>
      <xdr:rowOff>121920</xdr:rowOff>
    </xdr:from>
    <xdr:to>
      <xdr:col>2</xdr:col>
      <xdr:colOff>30481</xdr:colOff>
      <xdr:row>35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20B6E5-83C5-42CB-9D9A-3D4122385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214257</xdr:colOff>
      <xdr:row>1</xdr:row>
      <xdr:rowOff>73510</xdr:rowOff>
    </xdr:from>
    <xdr:to>
      <xdr:col>12</xdr:col>
      <xdr:colOff>1150620</xdr:colOff>
      <xdr:row>4</xdr:row>
      <xdr:rowOff>73510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9BAE26-176D-34E8-C744-55D32540D9C6}"/>
            </a:ext>
          </a:extLst>
        </xdr:cNvPr>
        <xdr:cNvSpPr txBox="1"/>
      </xdr:nvSpPr>
      <xdr:spPr>
        <a:xfrm>
          <a:off x="214257" y="256390"/>
          <a:ext cx="10118463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What do </a:t>
          </a:r>
          <a:r>
            <a:rPr lang="en-IN" sz="2800" b="1">
              <a:solidFill>
                <a:srgbClr val="269999"/>
              </a:solidFill>
            </a:rPr>
            <a:t>wage</a:t>
          </a:r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IN" sz="2800" b="1">
              <a:solidFill>
                <a:srgbClr val="FF5050"/>
              </a:solidFill>
            </a:rPr>
            <a:t>employment</a:t>
          </a:r>
          <a:r>
            <a:rPr lang="en-IN" sz="2800" b="1">
              <a:solidFill>
                <a:schemeClr val="tx1">
                  <a:lumMod val="75000"/>
                  <a:lumOff val="25000"/>
                </a:schemeClr>
              </a:solidFill>
            </a:rPr>
            <a:t> figures</a:t>
          </a:r>
          <a:r>
            <a:rPr lang="en-IN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look like by industry?</a:t>
          </a:r>
          <a:endParaRPr lang="en-IN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525332</xdr:colOff>
      <xdr:row>7</xdr:row>
      <xdr:rowOff>86286</xdr:rowOff>
    </xdr:from>
    <xdr:to>
      <xdr:col>1</xdr:col>
      <xdr:colOff>2621280</xdr:colOff>
      <xdr:row>9</xdr:row>
      <xdr:rowOff>68357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C40E5D-A609-A569-972D-8EC6773176B3}"/>
            </a:ext>
          </a:extLst>
        </xdr:cNvPr>
        <xdr:cNvSpPr txBox="1"/>
      </xdr:nvSpPr>
      <xdr:spPr>
        <a:xfrm>
          <a:off x="1096832" y="1595046"/>
          <a:ext cx="2095948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IN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Annual </a:t>
          </a:r>
          <a:r>
            <a:rPr lang="en-IN" sz="1600" b="1" baseline="0">
              <a:solidFill>
                <a:srgbClr val="269999"/>
              </a:solidFill>
            </a:rPr>
            <a:t>Wage</a:t>
          </a:r>
          <a:endParaRPr lang="en-IN" sz="1600" b="1">
            <a:solidFill>
              <a:srgbClr val="269999"/>
            </a:solidFill>
          </a:endParaRPr>
        </a:p>
      </xdr:txBody>
    </xdr:sp>
    <xdr:clientData/>
  </xdr:twoCellAnchor>
  <xdr:twoCellAnchor>
    <xdr:from>
      <xdr:col>4</xdr:col>
      <xdr:colOff>2108</xdr:colOff>
      <xdr:row>7</xdr:row>
      <xdr:rowOff>86286</xdr:rowOff>
    </xdr:from>
    <xdr:to>
      <xdr:col>8</xdr:col>
      <xdr:colOff>15107</xdr:colOff>
      <xdr:row>9</xdr:row>
      <xdr:rowOff>68357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5F1ADE-AB5C-5103-F395-102F44896926}"/>
            </a:ext>
          </a:extLst>
        </xdr:cNvPr>
        <xdr:cNvSpPr txBox="1"/>
      </xdr:nvSpPr>
      <xdr:spPr>
        <a:xfrm>
          <a:off x="4924628" y="1595046"/>
          <a:ext cx="245139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IN" sz="1600" b="1">
              <a:solidFill>
                <a:srgbClr val="FF5050"/>
              </a:solidFill>
            </a:rPr>
            <a:t>Employees</a:t>
          </a:r>
        </a:p>
      </xdr:txBody>
    </xdr:sp>
    <xdr:clientData/>
  </xdr:twoCellAnchor>
  <xdr:twoCellAnchor>
    <xdr:from>
      <xdr:col>4</xdr:col>
      <xdr:colOff>4349</xdr:colOff>
      <xdr:row>17</xdr:row>
      <xdr:rowOff>137160</xdr:rowOff>
    </xdr:from>
    <xdr:to>
      <xdr:col>8</xdr:col>
      <xdr:colOff>12866</xdr:colOff>
      <xdr:row>20</xdr:row>
      <xdr:rowOff>39445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17604F-129E-C4F1-C716-48CFE10B863A}"/>
            </a:ext>
          </a:extLst>
        </xdr:cNvPr>
        <xdr:cNvSpPr txBox="1"/>
      </xdr:nvSpPr>
      <xdr:spPr>
        <a:xfrm>
          <a:off x="4926869" y="3474720"/>
          <a:ext cx="2446917" cy="450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269999"/>
              </a:solidFill>
            </a:rPr>
            <a:t>Wage</a:t>
          </a:r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IN" sz="1600" b="1">
              <a:solidFill>
                <a:srgbClr val="FF5050"/>
              </a:solidFill>
            </a:rPr>
            <a:t>Employee</a:t>
          </a:r>
          <a:r>
            <a:rPr lang="en-IN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2</xdr:col>
      <xdr:colOff>566278</xdr:colOff>
      <xdr:row>27</xdr:row>
      <xdr:rowOff>144780</xdr:rowOff>
    </xdr:from>
    <xdr:to>
      <xdr:col>9</xdr:col>
      <xdr:colOff>60536</xdr:colOff>
      <xdr:row>36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414040-E739-45BA-81DB-FC5460E65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580107</xdr:colOff>
      <xdr:row>20</xdr:row>
      <xdr:rowOff>167641</xdr:rowOff>
    </xdr:from>
    <xdr:to>
      <xdr:col>9</xdr:col>
      <xdr:colOff>46707</xdr:colOff>
      <xdr:row>27</xdr:row>
      <xdr:rowOff>144781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58A6E17-7F63-45AA-B158-3EF38664D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304800</xdr:colOff>
      <xdr:row>10</xdr:row>
      <xdr:rowOff>137160</xdr:rowOff>
    </xdr:from>
    <xdr:to>
      <xdr:col>8</xdr:col>
      <xdr:colOff>464820</xdr:colOff>
      <xdr:row>15</xdr:row>
      <xdr:rowOff>22860</xdr:rowOff>
    </xdr:to>
    <xdr:sp macro="" textlink="'Data Prep'!I19">
      <xdr:nvSpPr>
        <xdr:cNvPr id="17" name="TextBox 16">
          <a:extLst>
            <a:ext uri="{FF2B5EF4-FFF2-40B4-BE49-F238E27FC236}">
              <a16:creationId xmlns:a16="http://schemas.microsoft.com/office/drawing/2014/main" id="{BFB6B3AD-1B99-1BD6-6C86-3B095A5BD7D7}"/>
            </a:ext>
          </a:extLst>
        </xdr:cNvPr>
        <xdr:cNvSpPr txBox="1"/>
      </xdr:nvSpPr>
      <xdr:spPr>
        <a:xfrm>
          <a:off x="6446520" y="2194560"/>
          <a:ext cx="1379220" cy="80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EF9216-F8E9-43FC-BF74-935C5A805CDD}" type="TxLink">
            <a:rPr lang="en-US" sz="5400" b="1" i="0" u="none" strike="noStrike">
              <a:solidFill>
                <a:srgbClr val="FF5050"/>
              </a:solidFill>
              <a:latin typeface="Calibri"/>
              <a:cs typeface="Calibri"/>
            </a:rPr>
            <a:pPr/>
            <a:t>17%</a:t>
          </a:fld>
          <a:endParaRPr lang="en-IN" sz="5400" b="1">
            <a:solidFill>
              <a:srgbClr val="FF505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5</xdr:row>
          <xdr:rowOff>0</xdr:rowOff>
        </xdr:from>
        <xdr:to>
          <xdr:col>2</xdr:col>
          <xdr:colOff>304800</xdr:colOff>
          <xdr:row>6</xdr:row>
          <xdr:rowOff>0</xdr:rowOff>
        </xdr:to>
        <xdr:sp macro="" textlink="">
          <xdr:nvSpPr>
            <xdr:cNvPr id="4101" name="Spinner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548640</xdr:colOff>
          <xdr:row>7</xdr:row>
          <xdr:rowOff>121920</xdr:rowOff>
        </xdr:from>
        <xdr:to>
          <xdr:col>12</xdr:col>
          <xdr:colOff>975360</xdr:colOff>
          <xdr:row>9</xdr:row>
          <xdr:rowOff>38100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2072640</xdr:colOff>
          <xdr:row>7</xdr:row>
          <xdr:rowOff>152400</xdr:rowOff>
        </xdr:from>
        <xdr:to>
          <xdr:col>15</xdr:col>
          <xdr:colOff>190500</xdr:colOff>
          <xdr:row>9</xdr:row>
          <xdr:rowOff>7620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131781</xdr:colOff>
      <xdr:row>7</xdr:row>
      <xdr:rowOff>86286</xdr:rowOff>
    </xdr:from>
    <xdr:to>
      <xdr:col>12</xdr:col>
      <xdr:colOff>1638300</xdr:colOff>
      <xdr:row>9</xdr:row>
      <xdr:rowOff>68357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362FBB-44C1-9EF0-03A1-5383098AF11F}"/>
            </a:ext>
          </a:extLst>
        </xdr:cNvPr>
        <xdr:cNvSpPr txBox="1"/>
      </xdr:nvSpPr>
      <xdr:spPr>
        <a:xfrm>
          <a:off x="9313881" y="1595046"/>
          <a:ext cx="150651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1">
              <a:solidFill>
                <a:srgbClr val="269999"/>
              </a:solidFill>
            </a:rPr>
            <a:t>Average</a:t>
          </a:r>
          <a:r>
            <a:rPr lang="en-IN" sz="1600" b="1" baseline="0">
              <a:solidFill>
                <a:srgbClr val="269999"/>
              </a:solidFill>
            </a:rPr>
            <a:t> Wage</a:t>
          </a:r>
          <a:endParaRPr lang="en-IN" sz="1600" b="1">
            <a:solidFill>
              <a:srgbClr val="269999"/>
            </a:solidFill>
          </a:endParaRPr>
        </a:p>
      </xdr:txBody>
    </xdr:sp>
    <xdr:clientData/>
  </xdr:twoCellAnchor>
  <xdr:twoCellAnchor>
    <xdr:from>
      <xdr:col>12</xdr:col>
      <xdr:colOff>2257761</xdr:colOff>
      <xdr:row>7</xdr:row>
      <xdr:rowOff>86286</xdr:rowOff>
    </xdr:from>
    <xdr:to>
      <xdr:col>15</xdr:col>
      <xdr:colOff>434340</xdr:colOff>
      <xdr:row>9</xdr:row>
      <xdr:rowOff>68357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8790767-6783-3361-7121-DCF307D8B647}"/>
            </a:ext>
          </a:extLst>
        </xdr:cNvPr>
        <xdr:cNvSpPr txBox="1"/>
      </xdr:nvSpPr>
      <xdr:spPr>
        <a:xfrm>
          <a:off x="11439861" y="1595046"/>
          <a:ext cx="1849419" cy="3478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1">
              <a:solidFill>
                <a:srgbClr val="FF5050"/>
              </a:solidFill>
            </a:rPr>
            <a:t>Employee per 1000</a:t>
          </a:r>
        </a:p>
      </xdr:txBody>
    </xdr:sp>
    <xdr:clientData/>
  </xdr:twoCellAnchor>
  <xdr:twoCellAnchor editAs="oneCell">
    <xdr:from>
      <xdr:col>13</xdr:col>
      <xdr:colOff>175260</xdr:colOff>
      <xdr:row>1</xdr:row>
      <xdr:rowOff>91440</xdr:rowOff>
    </xdr:from>
    <xdr:to>
      <xdr:col>16</xdr:col>
      <xdr:colOff>321735</xdr:colOff>
      <xdr:row>5</xdr:row>
      <xdr:rowOff>83886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BCCC12-B0FD-B1A1-0E45-1BF39CD90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274320"/>
          <a:ext cx="1975275" cy="762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3D984-EE7D-48EE-8FD4-EE879CAD3129}" name="Table" displayName="Table" ref="A1:F1919" totalsRowShown="0" headerRowDxfId="3">
  <autoFilter ref="A1:F1919" xr:uid="{E413D984-EE7D-48EE-8FD4-EE879CAD3129}"/>
  <tableColumns count="6">
    <tableColumn id="1" xr3:uid="{5145698A-81EA-455E-A03E-F4E0CFF55E8F}" name="Year"/>
    <tableColumn id="2" xr3:uid="{1D2AB4E9-2DC7-4324-8AEF-9B1F645D64CE}" name="Industry"/>
    <tableColumn id="3" xr3:uid="{257B98F2-A7D7-4168-9BE0-53C76EC7477B}" name="State"/>
    <tableColumn id="4" xr3:uid="{2953A1F1-89C7-4BB2-BA2E-5D38F8FE4687}" name="Establishments" dataDxfId="2"/>
    <tableColumn id="5" xr3:uid="{89D8047A-E6D8-4698-AE1B-21A681870E35}" name="Employees" dataDxfId="1"/>
    <tableColumn id="6" xr3:uid="{89BFBC50-06E8-44C9-80DB-D26A31E6031B}" name="Avg Annual W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5AE1-429A-4CBC-83FE-81FC69669922}">
  <dimension ref="A1:B49"/>
  <sheetViews>
    <sheetView topLeftCell="A21" workbookViewId="0">
      <selection activeCell="D2" sqref="D2"/>
    </sheetView>
  </sheetViews>
  <sheetFormatPr defaultRowHeight="14.4" x14ac:dyDescent="0.3"/>
  <cols>
    <col min="1" max="1" width="14" bestFit="1" customWidth="1"/>
    <col min="2" max="2" width="10.21875" bestFit="1" customWidth="1"/>
  </cols>
  <sheetData>
    <row r="1" spans="1:2" x14ac:dyDescent="0.3">
      <c r="A1" s="3" t="s">
        <v>0</v>
      </c>
      <c r="B1" s="9" t="s">
        <v>75</v>
      </c>
    </row>
    <row r="2" spans="1:2" x14ac:dyDescent="0.3">
      <c r="A2" t="s">
        <v>1</v>
      </c>
      <c r="B2">
        <v>4887871</v>
      </c>
    </row>
    <row r="3" spans="1:2" x14ac:dyDescent="0.3">
      <c r="A3" t="s">
        <v>2</v>
      </c>
      <c r="B3">
        <v>7171646</v>
      </c>
    </row>
    <row r="4" spans="1:2" x14ac:dyDescent="0.3">
      <c r="A4" t="s">
        <v>3</v>
      </c>
      <c r="B4">
        <v>3013825</v>
      </c>
    </row>
    <row r="5" spans="1:2" x14ac:dyDescent="0.3">
      <c r="A5" t="s">
        <v>4</v>
      </c>
      <c r="B5">
        <v>39557045</v>
      </c>
    </row>
    <row r="6" spans="1:2" x14ac:dyDescent="0.3">
      <c r="A6" t="s">
        <v>5</v>
      </c>
      <c r="B6">
        <v>5695564</v>
      </c>
    </row>
    <row r="7" spans="1:2" x14ac:dyDescent="0.3">
      <c r="A7" t="s">
        <v>6</v>
      </c>
      <c r="B7">
        <v>3572665</v>
      </c>
    </row>
    <row r="8" spans="1:2" x14ac:dyDescent="0.3">
      <c r="A8" t="s">
        <v>7</v>
      </c>
      <c r="B8">
        <v>967171</v>
      </c>
    </row>
    <row r="9" spans="1:2" x14ac:dyDescent="0.3">
      <c r="A9" t="s">
        <v>8</v>
      </c>
      <c r="B9">
        <v>21670000</v>
      </c>
    </row>
    <row r="10" spans="1:2" x14ac:dyDescent="0.3">
      <c r="A10" t="s">
        <v>9</v>
      </c>
      <c r="B10">
        <v>10519475</v>
      </c>
    </row>
    <row r="11" spans="1:2" x14ac:dyDescent="0.3">
      <c r="A11" t="s">
        <v>10</v>
      </c>
      <c r="B11">
        <v>1754208</v>
      </c>
    </row>
    <row r="12" spans="1:2" x14ac:dyDescent="0.3">
      <c r="A12" t="s">
        <v>11</v>
      </c>
      <c r="B12">
        <v>12741080</v>
      </c>
    </row>
    <row r="13" spans="1:2" x14ac:dyDescent="0.3">
      <c r="A13" t="s">
        <v>12</v>
      </c>
      <c r="B13">
        <v>6691878</v>
      </c>
    </row>
    <row r="14" spans="1:2" x14ac:dyDescent="0.3">
      <c r="A14" t="s">
        <v>13</v>
      </c>
      <c r="B14">
        <v>3156145</v>
      </c>
    </row>
    <row r="15" spans="1:2" x14ac:dyDescent="0.3">
      <c r="A15" t="s">
        <v>14</v>
      </c>
      <c r="B15">
        <v>2911505</v>
      </c>
    </row>
    <row r="16" spans="1:2" x14ac:dyDescent="0.3">
      <c r="A16" t="s">
        <v>15</v>
      </c>
      <c r="B16">
        <v>4468402</v>
      </c>
    </row>
    <row r="17" spans="1:2" x14ac:dyDescent="0.3">
      <c r="A17" t="s">
        <v>16</v>
      </c>
      <c r="B17">
        <v>4659978</v>
      </c>
    </row>
    <row r="18" spans="1:2" x14ac:dyDescent="0.3">
      <c r="A18" t="s">
        <v>17</v>
      </c>
      <c r="B18">
        <v>1338404</v>
      </c>
    </row>
    <row r="19" spans="1:2" x14ac:dyDescent="0.3">
      <c r="A19" t="s">
        <v>18</v>
      </c>
      <c r="B19">
        <v>6042718</v>
      </c>
    </row>
    <row r="20" spans="1:2" x14ac:dyDescent="0.3">
      <c r="A20" t="s">
        <v>19</v>
      </c>
      <c r="B20">
        <v>6902149</v>
      </c>
    </row>
    <row r="21" spans="1:2" x14ac:dyDescent="0.3">
      <c r="A21" t="s">
        <v>20</v>
      </c>
      <c r="B21">
        <v>9995915</v>
      </c>
    </row>
    <row r="22" spans="1:2" x14ac:dyDescent="0.3">
      <c r="A22" t="s">
        <v>21</v>
      </c>
      <c r="B22">
        <v>5611179</v>
      </c>
    </row>
    <row r="23" spans="1:2" x14ac:dyDescent="0.3">
      <c r="A23" t="s">
        <v>22</v>
      </c>
      <c r="B23">
        <v>2963914</v>
      </c>
    </row>
    <row r="24" spans="1:2" x14ac:dyDescent="0.3">
      <c r="A24" t="s">
        <v>23</v>
      </c>
      <c r="B24">
        <v>6126452</v>
      </c>
    </row>
    <row r="25" spans="1:2" x14ac:dyDescent="0.3">
      <c r="A25" t="s">
        <v>24</v>
      </c>
      <c r="B25">
        <v>1062305</v>
      </c>
    </row>
    <row r="26" spans="1:2" x14ac:dyDescent="0.3">
      <c r="A26" t="s">
        <v>25</v>
      </c>
      <c r="B26">
        <v>1929268</v>
      </c>
    </row>
    <row r="27" spans="1:2" x14ac:dyDescent="0.3">
      <c r="A27" t="s">
        <v>26</v>
      </c>
      <c r="B27">
        <v>3034392</v>
      </c>
    </row>
    <row r="28" spans="1:2" x14ac:dyDescent="0.3">
      <c r="A28" t="s">
        <v>27</v>
      </c>
      <c r="B28">
        <v>1356458</v>
      </c>
    </row>
    <row r="29" spans="1:2" x14ac:dyDescent="0.3">
      <c r="A29" t="s">
        <v>28</v>
      </c>
      <c r="B29">
        <v>8908520</v>
      </c>
    </row>
    <row r="30" spans="1:2" x14ac:dyDescent="0.3">
      <c r="A30" t="s">
        <v>29</v>
      </c>
      <c r="B30">
        <v>2095428</v>
      </c>
    </row>
    <row r="31" spans="1:2" x14ac:dyDescent="0.3">
      <c r="A31" t="s">
        <v>30</v>
      </c>
      <c r="B31">
        <v>19542209</v>
      </c>
    </row>
    <row r="32" spans="1:2" x14ac:dyDescent="0.3">
      <c r="A32" t="s">
        <v>31</v>
      </c>
      <c r="B32">
        <v>10383620</v>
      </c>
    </row>
    <row r="33" spans="1:2" x14ac:dyDescent="0.3">
      <c r="A33" t="s">
        <v>32</v>
      </c>
      <c r="B33">
        <v>760077</v>
      </c>
    </row>
    <row r="34" spans="1:2" x14ac:dyDescent="0.3">
      <c r="A34" t="s">
        <v>33</v>
      </c>
      <c r="B34">
        <v>11689442</v>
      </c>
    </row>
    <row r="35" spans="1:2" x14ac:dyDescent="0.3">
      <c r="A35" t="s">
        <v>34</v>
      </c>
      <c r="B35">
        <v>3943079</v>
      </c>
    </row>
    <row r="36" spans="1:2" x14ac:dyDescent="0.3">
      <c r="A36" t="s">
        <v>35</v>
      </c>
      <c r="B36">
        <v>4190713</v>
      </c>
    </row>
    <row r="37" spans="1:2" x14ac:dyDescent="0.3">
      <c r="A37" t="s">
        <v>36</v>
      </c>
      <c r="B37">
        <v>12807060</v>
      </c>
    </row>
    <row r="38" spans="1:2" x14ac:dyDescent="0.3">
      <c r="A38" t="s">
        <v>37</v>
      </c>
      <c r="B38">
        <v>1057315</v>
      </c>
    </row>
    <row r="39" spans="1:2" x14ac:dyDescent="0.3">
      <c r="A39" t="s">
        <v>38</v>
      </c>
      <c r="B39">
        <v>5084127</v>
      </c>
    </row>
    <row r="40" spans="1:2" x14ac:dyDescent="0.3">
      <c r="A40" t="s">
        <v>39</v>
      </c>
      <c r="B40">
        <v>882235</v>
      </c>
    </row>
    <row r="41" spans="1:2" x14ac:dyDescent="0.3">
      <c r="A41" t="s">
        <v>40</v>
      </c>
      <c r="B41">
        <v>6770010</v>
      </c>
    </row>
    <row r="42" spans="1:2" x14ac:dyDescent="0.3">
      <c r="A42" t="s">
        <v>41</v>
      </c>
      <c r="B42">
        <v>28701845</v>
      </c>
    </row>
    <row r="43" spans="1:2" x14ac:dyDescent="0.3">
      <c r="A43" t="s">
        <v>42</v>
      </c>
      <c r="B43">
        <v>3161105</v>
      </c>
    </row>
    <row r="44" spans="1:2" x14ac:dyDescent="0.3">
      <c r="A44" t="s">
        <v>43</v>
      </c>
      <c r="B44">
        <v>626299</v>
      </c>
    </row>
    <row r="45" spans="1:2" x14ac:dyDescent="0.3">
      <c r="A45" t="s">
        <v>44</v>
      </c>
      <c r="B45">
        <v>8517685</v>
      </c>
    </row>
    <row r="46" spans="1:2" x14ac:dyDescent="0.3">
      <c r="A46" t="s">
        <v>45</v>
      </c>
      <c r="B46">
        <v>7614893</v>
      </c>
    </row>
    <row r="47" spans="1:2" x14ac:dyDescent="0.3">
      <c r="A47" t="s">
        <v>46</v>
      </c>
      <c r="B47">
        <v>1805832</v>
      </c>
    </row>
    <row r="48" spans="1:2" x14ac:dyDescent="0.3">
      <c r="A48" t="s">
        <v>47</v>
      </c>
      <c r="B48">
        <v>5813568</v>
      </c>
    </row>
    <row r="49" spans="1:2" x14ac:dyDescent="0.3">
      <c r="A49" t="s">
        <v>48</v>
      </c>
      <c r="B49">
        <v>577737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workbookViewId="0">
      <selection activeCell="D2" sqref="D2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5.44140625" customWidth="1"/>
    <col min="5" max="5" width="12" customWidth="1"/>
    <col min="6" max="6" width="17.7773437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E4F3-378A-467F-A761-6E03968AC8E3}">
  <dimension ref="A1:T50"/>
  <sheetViews>
    <sheetView topLeftCell="B1" zoomScale="115" zoomScaleNormal="115" workbookViewId="0">
      <selection activeCell="D2" sqref="D2"/>
    </sheetView>
  </sheetViews>
  <sheetFormatPr defaultRowHeight="14.4" x14ac:dyDescent="0.3"/>
  <cols>
    <col min="1" max="1" width="20.21875" bestFit="1" customWidth="1"/>
    <col min="2" max="2" width="22.44140625" customWidth="1"/>
    <col min="4" max="4" width="20.21875" bestFit="1" customWidth="1"/>
    <col min="5" max="5" width="17" bestFit="1" customWidth="1"/>
    <col min="6" max="6" width="16" customWidth="1"/>
    <col min="8" max="8" width="20.21875" bestFit="1" customWidth="1"/>
    <col min="9" max="9" width="16" bestFit="1" customWidth="1"/>
    <col min="12" max="12" width="10.44140625" customWidth="1"/>
    <col min="13" max="13" width="11.109375" customWidth="1"/>
    <col min="15" max="15" width="14" bestFit="1" customWidth="1"/>
    <col min="16" max="16" width="11.33203125" customWidth="1"/>
    <col min="17" max="17" width="11.33203125" bestFit="1" customWidth="1"/>
    <col min="18" max="18" width="25.21875" bestFit="1" customWidth="1"/>
    <col min="19" max="19" width="14.44140625" bestFit="1" customWidth="1"/>
    <col min="20" max="20" width="25.21875" bestFit="1" customWidth="1"/>
  </cols>
  <sheetData>
    <row r="1" spans="1:20" x14ac:dyDescent="0.3">
      <c r="A1" s="6" t="s">
        <v>64</v>
      </c>
      <c r="B1" s="6"/>
      <c r="D1" s="7" t="s">
        <v>68</v>
      </c>
      <c r="E1" s="7"/>
      <c r="F1" s="7"/>
      <c r="H1" s="7" t="s">
        <v>69</v>
      </c>
      <c r="I1" s="7"/>
      <c r="K1" s="7" t="s">
        <v>72</v>
      </c>
      <c r="L1" s="7"/>
      <c r="M1" s="7"/>
      <c r="O1" s="7" t="s">
        <v>74</v>
      </c>
      <c r="P1" s="7"/>
      <c r="Q1" s="7"/>
      <c r="R1" s="7"/>
      <c r="S1" s="7"/>
      <c r="T1" s="7"/>
    </row>
    <row r="2" spans="1:20" x14ac:dyDescent="0.3">
      <c r="A2" s="3" t="s">
        <v>49</v>
      </c>
      <c r="B2" s="3" t="s">
        <v>65</v>
      </c>
      <c r="D2" s="8" t="s">
        <v>49</v>
      </c>
      <c r="E2" s="8" t="s">
        <v>63</v>
      </c>
      <c r="F2" s="8" t="s">
        <v>65</v>
      </c>
      <c r="H2" s="8" t="s">
        <v>49</v>
      </c>
      <c r="I2" s="8" t="s">
        <v>62</v>
      </c>
      <c r="K2" s="8" t="s">
        <v>50</v>
      </c>
      <c r="L2" s="8" t="s">
        <v>73</v>
      </c>
      <c r="M2" s="8" t="s">
        <v>62</v>
      </c>
      <c r="O2" s="8" t="s">
        <v>0</v>
      </c>
      <c r="P2" s="8" t="s">
        <v>62</v>
      </c>
      <c r="Q2" s="8" t="s">
        <v>76</v>
      </c>
      <c r="R2" s="8" t="s">
        <v>77</v>
      </c>
      <c r="S2" s="8" t="s">
        <v>80</v>
      </c>
      <c r="T2" s="8" t="str">
        <f>$B$18</f>
        <v xml:space="preserve">Average Wages </v>
      </c>
    </row>
    <row r="3" spans="1:20" x14ac:dyDescent="0.3">
      <c r="A3" t="s">
        <v>57</v>
      </c>
      <c r="B3" t="str">
        <f>Dashboard!B6</f>
        <v>Business Services</v>
      </c>
      <c r="D3" t="s">
        <v>53</v>
      </c>
      <c r="E3" s="2">
        <f>AVERAGEIFS(Table[Avg Annual Wage],Table[Industry],D3,Table[Year],$B$15)</f>
        <v>93586.333333333328</v>
      </c>
      <c r="F3" s="2">
        <f>IF(D3=$B$3,E3,0)</f>
        <v>0</v>
      </c>
      <c r="H3" t="s">
        <v>54</v>
      </c>
      <c r="I3" s="1">
        <f>SUMIFS(Table[Employees],Table[Industry],H3,Table[Year],$B$15)</f>
        <v>26277342</v>
      </c>
      <c r="K3">
        <v>2017</v>
      </c>
      <c r="L3" s="2">
        <f>AVERAGEIFS(Table[Avg Annual Wage],Table[Industry],$B$3,Table[Year],K3)</f>
        <v>64714.4375</v>
      </c>
      <c r="M3" s="1">
        <f>SUMIFS(Table[Employees],Table[Industry],$B$3,Table[Year],K3)</f>
        <v>20063464</v>
      </c>
      <c r="O3" t="s">
        <v>1</v>
      </c>
      <c r="P3" s="1">
        <f>SUMIFS(Table[Employees],Table[Industry],$B$3,Table[Year],$B$15,Table[State],O3)</f>
        <v>242419</v>
      </c>
      <c r="Q3" s="1">
        <f>VLOOKUP(O3,Population!A2:B49,2,0)</f>
        <v>4887871</v>
      </c>
      <c r="R3" s="10">
        <f>P3/Q3 * 1000</f>
        <v>49.596030664475393</v>
      </c>
      <c r="S3" s="11">
        <f>AVERAGEIFS(Table[Avg Annual Wage],Table[Industry],$B$3,Table[Year],$B$15,Table[State],O3)</f>
        <v>62111</v>
      </c>
      <c r="T3" s="12">
        <f t="shared" ref="T3:T50" si="0">IF($B$18=$S$2,-S3,R3)</f>
        <v>-62111</v>
      </c>
    </row>
    <row r="4" spans="1:20" x14ac:dyDescent="0.3">
      <c r="A4" t="s">
        <v>51</v>
      </c>
      <c r="D4" t="s">
        <v>56</v>
      </c>
      <c r="E4" s="2">
        <f>AVERAGEIFS(Table[Avg Annual Wage],Table[Industry],D4,Table[Year],$B$15)</f>
        <v>90040.666666666672</v>
      </c>
      <c r="F4" s="2">
        <f t="shared" ref="F4:F12" si="1">IF(D4=$B$3,E4,0)</f>
        <v>0</v>
      </c>
      <c r="H4" t="s">
        <v>58</v>
      </c>
      <c r="I4" s="1">
        <f>SUMIFS(Table[Employees],Table[Industry],H4,Table[Year],$B$15)</f>
        <v>22035033</v>
      </c>
      <c r="K4">
        <v>2018</v>
      </c>
      <c r="L4" s="2">
        <f>AVERAGEIFS(Table[Avg Annual Wage],Table[Industry],$B$3,Table[Year],K4)</f>
        <v>66836.25</v>
      </c>
      <c r="M4" s="1">
        <f>SUMIFS(Table[Employees],Table[Industry],$B$3,Table[Year],K4)</f>
        <v>20594171</v>
      </c>
      <c r="O4" t="s">
        <v>2</v>
      </c>
      <c r="P4" s="1">
        <f>SUMIFS(Table[Employees],Table[Industry],$B$3,Table[Year],$B$15,Table[State],O4)</f>
        <v>431379</v>
      </c>
      <c r="Q4" s="1">
        <f>VLOOKUP(O4,Population!A3:B50,2,0)</f>
        <v>7171646</v>
      </c>
      <c r="R4" s="10">
        <f t="shared" ref="R4:R50" si="2">P4/Q4 * 1000</f>
        <v>60.150626508893495</v>
      </c>
      <c r="S4" s="11">
        <f>AVERAGEIFS(Table[Avg Annual Wage],Table[Industry],$B$3,Table[Year],$B$15,Table[State],O4)</f>
        <v>63180</v>
      </c>
      <c r="T4" s="12">
        <f t="shared" si="0"/>
        <v>-63180</v>
      </c>
    </row>
    <row r="5" spans="1:20" x14ac:dyDescent="0.3">
      <c r="A5" t="s">
        <v>58</v>
      </c>
      <c r="D5" t="s">
        <v>57</v>
      </c>
      <c r="E5" s="2">
        <f>AVERAGEIFS(Table[Avg Annual Wage],Table[Industry],D5,Table[Year],$B$15)</f>
        <v>74713.0625</v>
      </c>
      <c r="F5" s="2">
        <f t="shared" si="1"/>
        <v>74713.0625</v>
      </c>
      <c r="H5" t="s">
        <v>57</v>
      </c>
      <c r="I5" s="1">
        <f>SUMIFS(Table[Employees],Table[Industry],H5,Table[Year],$B$15)</f>
        <v>20065896</v>
      </c>
      <c r="K5">
        <v>2019</v>
      </c>
      <c r="L5" s="2">
        <f>AVERAGEIFS(Table[Avg Annual Wage],Table[Industry],$B$3,Table[Year],K5)</f>
        <v>69592.166666666672</v>
      </c>
      <c r="M5" s="1">
        <f>SUMIFS(Table[Employees],Table[Industry],$B$3,Table[Year],K5)</f>
        <v>20961286</v>
      </c>
      <c r="O5" t="s">
        <v>3</v>
      </c>
      <c r="P5" s="1">
        <f>SUMIFS(Table[Employees],Table[Industry],$B$3,Table[Year],$B$15,Table[State],O5)</f>
        <v>139300</v>
      </c>
      <c r="Q5" s="1">
        <f>VLOOKUP(O5,Population!A4:B51,2,0)</f>
        <v>3013825</v>
      </c>
      <c r="R5" s="10">
        <f t="shared" si="2"/>
        <v>46.220334624604945</v>
      </c>
      <c r="S5" s="11">
        <f>AVERAGEIFS(Table[Avg Annual Wage],Table[Industry],$B$3,Table[Year],$B$15,Table[State],O5)</f>
        <v>68067</v>
      </c>
      <c r="T5" s="12">
        <f t="shared" si="0"/>
        <v>-68067</v>
      </c>
    </row>
    <row r="6" spans="1:20" x14ac:dyDescent="0.3">
      <c r="A6" t="s">
        <v>56</v>
      </c>
      <c r="D6" t="s">
        <v>52</v>
      </c>
      <c r="E6" s="2">
        <f>AVERAGEIFS(Table[Avg Annual Wage],Table[Industry],D6,Table[Year],$B$15)</f>
        <v>68427.875</v>
      </c>
      <c r="F6" s="2">
        <f t="shared" si="1"/>
        <v>0</v>
      </c>
      <c r="H6" t="s">
        <v>59</v>
      </c>
      <c r="I6" s="1">
        <f>SUMIFS(Table[Employees],Table[Industry],H6,Table[Year],$B$15)</f>
        <v>12649500</v>
      </c>
      <c r="K6">
        <v>2020</v>
      </c>
      <c r="L6" s="2">
        <f>AVERAGEIFS(Table[Avg Annual Wage],Table[Industry],$B$3,Table[Year],K6)</f>
        <v>74713.0625</v>
      </c>
      <c r="M6" s="1">
        <f>SUMIFS(Table[Employees],Table[Industry],$B$3,Table[Year],K6)</f>
        <v>20065896</v>
      </c>
      <c r="O6" t="s">
        <v>4</v>
      </c>
      <c r="P6" s="1">
        <f>SUMIFS(Table[Employees],Table[Industry],$B$3,Table[Year],$B$15,Table[State],O6)</f>
        <v>2600604</v>
      </c>
      <c r="Q6" s="1">
        <f>VLOOKUP(O6,Population!A5:B52,2,0)</f>
        <v>39557045</v>
      </c>
      <c r="R6" s="10">
        <f t="shared" si="2"/>
        <v>65.74313121720796</v>
      </c>
      <c r="S6" s="11">
        <f>AVERAGEIFS(Table[Avg Annual Wage],Table[Industry],$B$3,Table[Year],$B$15,Table[State],O6)</f>
        <v>106486</v>
      </c>
      <c r="T6" s="12">
        <f t="shared" si="0"/>
        <v>-106486</v>
      </c>
    </row>
    <row r="7" spans="1:20" x14ac:dyDescent="0.3">
      <c r="A7" t="s">
        <v>53</v>
      </c>
      <c r="D7" t="s">
        <v>51</v>
      </c>
      <c r="E7" s="2">
        <f>AVERAGEIFS(Table[Avg Annual Wage],Table[Industry],D7,Table[Year],$B$15)</f>
        <v>63896.895833333336</v>
      </c>
      <c r="F7" s="2">
        <f t="shared" si="1"/>
        <v>0</v>
      </c>
      <c r="H7" t="s">
        <v>52</v>
      </c>
      <c r="I7" s="1">
        <f>SUMIFS(Table[Employees],Table[Industry],H7,Table[Year],$B$15)</f>
        <v>12058694</v>
      </c>
      <c r="O7" t="s">
        <v>5</v>
      </c>
      <c r="P7" s="1">
        <f>SUMIFS(Table[Employees],Table[Industry],$B$3,Table[Year],$B$15,Table[State],O7)</f>
        <v>430367</v>
      </c>
      <c r="Q7" s="1">
        <f>VLOOKUP(O7,Population!A6:B53,2,0)</f>
        <v>5695564</v>
      </c>
      <c r="R7" s="10">
        <f t="shared" si="2"/>
        <v>75.561788086307175</v>
      </c>
      <c r="S7" s="11">
        <f>AVERAGEIFS(Table[Avg Annual Wage],Table[Industry],$B$3,Table[Year],$B$15,Table[State],O7)</f>
        <v>90744</v>
      </c>
      <c r="T7" s="12">
        <f t="shared" si="0"/>
        <v>-90744</v>
      </c>
    </row>
    <row r="8" spans="1:20" x14ac:dyDescent="0.3">
      <c r="A8" t="s">
        <v>59</v>
      </c>
      <c r="D8" t="s">
        <v>55</v>
      </c>
      <c r="E8" s="2">
        <f>AVERAGEIFS(Table[Avg Annual Wage],Table[Industry],D8,Table[Year],$B$15)</f>
        <v>55605.9375</v>
      </c>
      <c r="F8" s="2">
        <f t="shared" si="1"/>
        <v>0</v>
      </c>
      <c r="H8" t="s">
        <v>56</v>
      </c>
      <c r="I8" s="1">
        <f>SUMIFS(Table[Employees],Table[Industry],H8,Table[Year],$B$15)</f>
        <v>8142043</v>
      </c>
      <c r="O8" t="s">
        <v>6</v>
      </c>
      <c r="P8" s="1">
        <f>SUMIFS(Table[Employees],Table[Industry],$B$3,Table[Year],$B$15,Table[State],O8)</f>
        <v>206629</v>
      </c>
      <c r="Q8" s="1">
        <f>VLOOKUP(O8,Population!A7:B54,2,0)</f>
        <v>3572665</v>
      </c>
      <c r="R8" s="10">
        <f t="shared" si="2"/>
        <v>57.836097143169034</v>
      </c>
      <c r="S8" s="11">
        <f>AVERAGEIFS(Table[Avg Annual Wage],Table[Industry],$B$3,Table[Year],$B$15,Table[State],O8)</f>
        <v>95714</v>
      </c>
      <c r="T8" s="12">
        <f t="shared" si="0"/>
        <v>-95714</v>
      </c>
    </row>
    <row r="9" spans="1:20" x14ac:dyDescent="0.3">
      <c r="A9" t="s">
        <v>52</v>
      </c>
      <c r="D9" t="s">
        <v>58</v>
      </c>
      <c r="E9" s="2">
        <f>AVERAGEIFS(Table[Avg Annual Wage],Table[Industry],D9,Table[Year],$B$15)</f>
        <v>53607.208333333336</v>
      </c>
      <c r="F9" s="2">
        <f t="shared" si="1"/>
        <v>0</v>
      </c>
      <c r="H9" t="s">
        <v>51</v>
      </c>
      <c r="I9" s="1">
        <f>SUMIFS(Table[Employees],Table[Industry],H9,Table[Year],$B$15)</f>
        <v>7136444</v>
      </c>
      <c r="O9" t="s">
        <v>7</v>
      </c>
      <c r="P9" s="1">
        <f>SUMIFS(Table[Employees],Table[Industry],$B$3,Table[Year],$B$15,Table[State],O9)</f>
        <v>61669</v>
      </c>
      <c r="Q9" s="1">
        <f>VLOOKUP(O9,Population!A8:B55,2,0)</f>
        <v>967171</v>
      </c>
      <c r="R9" s="10">
        <f t="shared" si="2"/>
        <v>63.762250935977193</v>
      </c>
      <c r="S9" s="11">
        <f>AVERAGEIFS(Table[Avg Annual Wage],Table[Industry],$B$3,Table[Year],$B$15,Table[State],O9)</f>
        <v>85651</v>
      </c>
      <c r="T9" s="12">
        <f t="shared" si="0"/>
        <v>-85651</v>
      </c>
    </row>
    <row r="10" spans="1:20" x14ac:dyDescent="0.3">
      <c r="A10" t="s">
        <v>55</v>
      </c>
      <c r="D10" t="s">
        <v>54</v>
      </c>
      <c r="E10" s="2">
        <f>AVERAGEIFS(Table[Avg Annual Wage],Table[Industry],D10,Table[Year],$B$15)</f>
        <v>49366.8125</v>
      </c>
      <c r="F10" s="2">
        <f t="shared" si="1"/>
        <v>0</v>
      </c>
      <c r="H10" t="s">
        <v>60</v>
      </c>
      <c r="I10" s="1">
        <f>SUMIFS(Table[Employees],Table[Industry],H10,Table[Year],$B$15)</f>
        <v>3843699</v>
      </c>
      <c r="O10" t="s">
        <v>8</v>
      </c>
      <c r="P10" s="1">
        <f>SUMIFS(Table[Employees],Table[Industry],$B$3,Table[Year],$B$15,Table[State],O10)</f>
        <v>1358317</v>
      </c>
      <c r="Q10" s="1">
        <f>VLOOKUP(O10,Population!A9:B56,2,0)</f>
        <v>21670000</v>
      </c>
      <c r="R10" s="10">
        <f t="shared" si="2"/>
        <v>62.68191047531149</v>
      </c>
      <c r="S10" s="11">
        <f>AVERAGEIFS(Table[Avg Annual Wage],Table[Industry],$B$3,Table[Year],$B$15,Table[State],O10)</f>
        <v>68223</v>
      </c>
      <c r="T10" s="12">
        <f t="shared" si="0"/>
        <v>-68223</v>
      </c>
    </row>
    <row r="11" spans="1:20" x14ac:dyDescent="0.3">
      <c r="A11" t="s">
        <v>60</v>
      </c>
      <c r="D11" t="s">
        <v>60</v>
      </c>
      <c r="E11" s="2">
        <f>AVERAGEIFS(Table[Avg Annual Wage],Table[Industry],D11,Table[Year],$B$15)</f>
        <v>40790.1875</v>
      </c>
      <c r="F11" s="2">
        <f t="shared" si="1"/>
        <v>0</v>
      </c>
      <c r="H11" t="s">
        <v>53</v>
      </c>
      <c r="I11" s="1">
        <f>SUMIFS(Table[Employees],Table[Industry],H11,Table[Year],$B$15)</f>
        <v>2677815</v>
      </c>
      <c r="O11" t="s">
        <v>9</v>
      </c>
      <c r="P11" s="1">
        <f>SUMIFS(Table[Employees],Table[Industry],$B$3,Table[Year],$B$15,Table[State],O11)</f>
        <v>692452</v>
      </c>
      <c r="Q11" s="1">
        <f>VLOOKUP(O11,Population!A10:B57,2,0)</f>
        <v>10519475</v>
      </c>
      <c r="R11" s="10">
        <f t="shared" si="2"/>
        <v>65.825718488802906</v>
      </c>
      <c r="S11" s="11">
        <f>AVERAGEIFS(Table[Avg Annual Wage],Table[Industry],$B$3,Table[Year],$B$15,Table[State],O11)</f>
        <v>76331</v>
      </c>
      <c r="T11" s="12">
        <f t="shared" si="0"/>
        <v>-76331</v>
      </c>
    </row>
    <row r="12" spans="1:20" x14ac:dyDescent="0.3">
      <c r="A12" t="s">
        <v>54</v>
      </c>
      <c r="D12" t="s">
        <v>59</v>
      </c>
      <c r="E12" s="2">
        <f>AVERAGEIFS(Table[Avg Annual Wage],Table[Industry],D12,Table[Year],$B$15)</f>
        <v>23286.416666666668</v>
      </c>
      <c r="F12" s="2">
        <f t="shared" si="1"/>
        <v>0</v>
      </c>
      <c r="H12" t="s">
        <v>55</v>
      </c>
      <c r="I12" s="1">
        <f>SUMIFS(Table[Employees],Table[Industry],H12,Table[Year],$B$15)</f>
        <v>1762873</v>
      </c>
      <c r="O12" t="s">
        <v>10</v>
      </c>
      <c r="P12" s="1">
        <f>SUMIFS(Table[Employees],Table[Industry],$B$3,Table[Year],$B$15,Table[State],O12)</f>
        <v>97097</v>
      </c>
      <c r="Q12" s="1">
        <f>VLOOKUP(O12,Population!A11:B58,2,0)</f>
        <v>1754208</v>
      </c>
      <c r="R12" s="10">
        <f t="shared" si="2"/>
        <v>55.350904795782483</v>
      </c>
      <c r="S12" s="11">
        <f>AVERAGEIFS(Table[Avg Annual Wage],Table[Industry],$B$3,Table[Year],$B$15,Table[State],O12)</f>
        <v>59743</v>
      </c>
      <c r="T12" s="12">
        <f t="shared" si="0"/>
        <v>-59743</v>
      </c>
    </row>
    <row r="13" spans="1:20" x14ac:dyDescent="0.3">
      <c r="O13" t="s">
        <v>11</v>
      </c>
      <c r="P13" s="1">
        <f>SUMIFS(Table[Employees],Table[Industry],$B$3,Table[Year],$B$15,Table[State],O13)</f>
        <v>892150</v>
      </c>
      <c r="Q13" s="1">
        <f>VLOOKUP(O13,Population!A12:B59,2,0)</f>
        <v>12741080</v>
      </c>
      <c r="R13" s="10">
        <f t="shared" si="2"/>
        <v>70.021536635826791</v>
      </c>
      <c r="S13" s="11">
        <f>AVERAGEIFS(Table[Avg Annual Wage],Table[Industry],$B$3,Table[Year],$B$15,Table[State],O13)</f>
        <v>83889</v>
      </c>
      <c r="T13" s="12">
        <f t="shared" si="0"/>
        <v>-83889</v>
      </c>
    </row>
    <row r="14" spans="1:20" x14ac:dyDescent="0.3">
      <c r="A14" s="6" t="s">
        <v>66</v>
      </c>
      <c r="B14" s="6"/>
      <c r="H14" s="7" t="s">
        <v>70</v>
      </c>
      <c r="I14" s="7"/>
      <c r="O14" t="s">
        <v>12</v>
      </c>
      <c r="P14" s="1">
        <f>SUMIFS(Table[Employees],Table[Industry],$B$3,Table[Year],$B$15,Table[State],O14)</f>
        <v>326745</v>
      </c>
      <c r="Q14" s="1">
        <f>VLOOKUP(O14,Population!A13:B60,2,0)</f>
        <v>6691878</v>
      </c>
      <c r="R14" s="10">
        <f t="shared" si="2"/>
        <v>48.827100553835557</v>
      </c>
      <c r="S14" s="11">
        <f>AVERAGEIFS(Table[Avg Annual Wage],Table[Industry],$B$3,Table[Year],$B$15,Table[State],O14)</f>
        <v>58578</v>
      </c>
      <c r="T14" s="12">
        <f t="shared" si="0"/>
        <v>-58578</v>
      </c>
    </row>
    <row r="15" spans="1:20" x14ac:dyDescent="0.3">
      <c r="A15" s="4" t="s">
        <v>67</v>
      </c>
      <c r="B15" s="5">
        <v>2020</v>
      </c>
      <c r="H15" s="8" t="s">
        <v>49</v>
      </c>
      <c r="I15" s="8" t="s">
        <v>62</v>
      </c>
      <c r="O15" t="s">
        <v>13</v>
      </c>
      <c r="P15" s="1">
        <f>SUMIFS(Table[Employees],Table[Industry],$B$3,Table[Year],$B$15,Table[State],O15)</f>
        <v>134822</v>
      </c>
      <c r="Q15" s="1">
        <f>VLOOKUP(O15,Population!A14:B61,2,0)</f>
        <v>3156145</v>
      </c>
      <c r="R15" s="10">
        <f t="shared" si="2"/>
        <v>42.717302278570855</v>
      </c>
      <c r="S15" s="11">
        <f>AVERAGEIFS(Table[Avg Annual Wage],Table[Industry],$B$3,Table[Year],$B$15,Table[State],O15)</f>
        <v>61793</v>
      </c>
      <c r="T15" s="12">
        <f t="shared" si="0"/>
        <v>-61793</v>
      </c>
    </row>
    <row r="16" spans="1:20" x14ac:dyDescent="0.3">
      <c r="H16" t="str">
        <f>B3</f>
        <v>Business Services</v>
      </c>
      <c r="I16" s="1">
        <f>VLOOKUP(B3,H3:I12,2,0)</f>
        <v>20065896</v>
      </c>
      <c r="O16" t="s">
        <v>14</v>
      </c>
      <c r="P16" s="1">
        <f>SUMIFS(Table[Employees],Table[Industry],$B$3,Table[Year],$B$15,Table[State],O16)</f>
        <v>168813</v>
      </c>
      <c r="Q16" s="1">
        <f>VLOOKUP(O16,Population!A15:B62,2,0)</f>
        <v>2911505</v>
      </c>
      <c r="R16" s="10">
        <f t="shared" si="2"/>
        <v>57.981353286358775</v>
      </c>
      <c r="S16" s="11">
        <f>AVERAGEIFS(Table[Avg Annual Wage],Table[Industry],$B$3,Table[Year],$B$15,Table[State],O16)</f>
        <v>69538</v>
      </c>
      <c r="T16" s="12">
        <f t="shared" si="0"/>
        <v>-69538</v>
      </c>
    </row>
    <row r="17" spans="1:20" x14ac:dyDescent="0.3">
      <c r="A17" s="6" t="s">
        <v>78</v>
      </c>
      <c r="B17" s="6"/>
      <c r="H17" t="s">
        <v>71</v>
      </c>
      <c r="I17" s="1">
        <f>SUM(I3:I12) - I16</f>
        <v>96583443</v>
      </c>
      <c r="O17" t="s">
        <v>15</v>
      </c>
      <c r="P17" s="1">
        <f>SUMIFS(Table[Employees],Table[Industry],$B$3,Table[Year],$B$15,Table[State],O17)</f>
        <v>207575</v>
      </c>
      <c r="Q17" s="1">
        <f>VLOOKUP(O17,Population!A16:B63,2,0)</f>
        <v>4468402</v>
      </c>
      <c r="R17" s="10">
        <f t="shared" si="2"/>
        <v>46.4539672124397</v>
      </c>
      <c r="S17" s="11">
        <f>AVERAGEIFS(Table[Avg Annual Wage],Table[Industry],$B$3,Table[Year],$B$15,Table[State],O17)</f>
        <v>55987</v>
      </c>
      <c r="T17" s="12">
        <f t="shared" si="0"/>
        <v>-55987</v>
      </c>
    </row>
    <row r="18" spans="1:20" x14ac:dyDescent="0.3">
      <c r="A18" s="4" t="s">
        <v>79</v>
      </c>
      <c r="B18" t="str">
        <f>IF(Dashboard!A2=1,'Data Prep'!S2,'Data Prep'!R2)</f>
        <v xml:space="preserve">Average Wages </v>
      </c>
      <c r="O18" t="s">
        <v>16</v>
      </c>
      <c r="P18" s="1">
        <f>SUMIFS(Table[Employees],Table[Industry],$B$3,Table[Year],$B$15,Table[State],O18)</f>
        <v>204729</v>
      </c>
      <c r="Q18" s="1">
        <f>VLOOKUP(O18,Population!A17:B64,2,0)</f>
        <v>4659978</v>
      </c>
      <c r="R18" s="10">
        <f t="shared" si="2"/>
        <v>43.933469213803157</v>
      </c>
      <c r="S18" s="11">
        <f>AVERAGEIFS(Table[Avg Annual Wage],Table[Industry],$B$3,Table[Year],$B$15,Table[State],O18)</f>
        <v>60136</v>
      </c>
      <c r="T18" s="12">
        <f t="shared" si="0"/>
        <v>-60136</v>
      </c>
    </row>
    <row r="19" spans="1:20" x14ac:dyDescent="0.3">
      <c r="H19" s="4" t="s">
        <v>81</v>
      </c>
      <c r="I19" s="14">
        <f>I16/SUM(I16:I17)</f>
        <v>0.17201894303061588</v>
      </c>
      <c r="O19" t="s">
        <v>17</v>
      </c>
      <c r="P19" s="1">
        <f>SUMIFS(Table[Employees],Table[Industry],$B$3,Table[Year],$B$15,Table[State],O19)</f>
        <v>68952</v>
      </c>
      <c r="Q19" s="1">
        <f>VLOOKUP(O19,Population!A18:B65,2,0)</f>
        <v>1338404</v>
      </c>
      <c r="R19" s="10">
        <f t="shared" si="2"/>
        <v>51.518076754104143</v>
      </c>
      <c r="S19" s="11">
        <f>AVERAGEIFS(Table[Avg Annual Wage],Table[Industry],$B$3,Table[Year],$B$15,Table[State],O19)</f>
        <v>66178</v>
      </c>
      <c r="T19" s="12">
        <f t="shared" si="0"/>
        <v>-66178</v>
      </c>
    </row>
    <row r="20" spans="1:20" x14ac:dyDescent="0.3">
      <c r="O20" t="s">
        <v>18</v>
      </c>
      <c r="P20" s="1">
        <f>SUMIFS(Table[Employees],Table[Industry],$B$3,Table[Year],$B$15,Table[State],O20)</f>
        <v>441860</v>
      </c>
      <c r="Q20" s="1">
        <f>VLOOKUP(O20,Population!A19:B66,2,0)</f>
        <v>6042718</v>
      </c>
      <c r="R20" s="10">
        <f t="shared" si="2"/>
        <v>73.122723913311859</v>
      </c>
      <c r="S20" s="11">
        <f>AVERAGEIFS(Table[Avg Annual Wage],Table[Industry],$B$3,Table[Year],$B$15,Table[State],O20)</f>
        <v>88391</v>
      </c>
      <c r="T20" s="12">
        <f t="shared" si="0"/>
        <v>-88391</v>
      </c>
    </row>
    <row r="21" spans="1:20" x14ac:dyDescent="0.3">
      <c r="O21" t="s">
        <v>19</v>
      </c>
      <c r="P21" s="1">
        <f>SUMIFS(Table[Employees],Table[Industry],$B$3,Table[Year],$B$15,Table[State],O21)</f>
        <v>583792</v>
      </c>
      <c r="Q21" s="1">
        <f>VLOOKUP(O21,Population!A20:B67,2,0)</f>
        <v>6902149</v>
      </c>
      <c r="R21" s="10">
        <f t="shared" si="2"/>
        <v>84.581193480465288</v>
      </c>
      <c r="S21" s="11">
        <f>AVERAGEIFS(Table[Avg Annual Wage],Table[Industry],$B$3,Table[Year],$B$15,Table[State],O21)</f>
        <v>124638</v>
      </c>
      <c r="T21" s="12">
        <f t="shared" si="0"/>
        <v>-124638</v>
      </c>
    </row>
    <row r="22" spans="1:20" x14ac:dyDescent="0.3">
      <c r="O22" t="s">
        <v>20</v>
      </c>
      <c r="P22" s="1">
        <f>SUMIFS(Table[Employees],Table[Industry],$B$3,Table[Year],$B$15,Table[State],O22)</f>
        <v>599657</v>
      </c>
      <c r="Q22" s="1">
        <f>VLOOKUP(O22,Population!A21:B68,2,0)</f>
        <v>9995915</v>
      </c>
      <c r="R22" s="10">
        <f t="shared" si="2"/>
        <v>59.990205999150653</v>
      </c>
      <c r="S22" s="11">
        <f>AVERAGEIFS(Table[Avg Annual Wage],Table[Industry],$B$3,Table[Year],$B$15,Table[State],O22)</f>
        <v>76432</v>
      </c>
      <c r="T22" s="12">
        <f t="shared" si="0"/>
        <v>-76432</v>
      </c>
    </row>
    <row r="23" spans="1:20" x14ac:dyDescent="0.3">
      <c r="O23" t="s">
        <v>21</v>
      </c>
      <c r="P23" s="1">
        <f>SUMIFS(Table[Employees],Table[Industry],$B$3,Table[Year],$B$15,Table[State],O23)</f>
        <v>361183</v>
      </c>
      <c r="Q23" s="1">
        <f>VLOOKUP(O23,Population!A22:B69,2,0)</f>
        <v>5611179</v>
      </c>
      <c r="R23" s="10">
        <f t="shared" si="2"/>
        <v>64.368468730011998</v>
      </c>
      <c r="S23" s="11">
        <f>AVERAGEIFS(Table[Avg Annual Wage],Table[Industry],$B$3,Table[Year],$B$15,Table[State],O23)</f>
        <v>91033</v>
      </c>
      <c r="T23" s="12">
        <f t="shared" si="0"/>
        <v>-91033</v>
      </c>
    </row>
    <row r="24" spans="1:20" x14ac:dyDescent="0.3">
      <c r="O24" t="s">
        <v>22</v>
      </c>
      <c r="P24" s="1">
        <f>SUMIFS(Table[Employees],Table[Industry],$B$3,Table[Year],$B$15,Table[State],O24)</f>
        <v>107758</v>
      </c>
      <c r="Q24" s="1">
        <f>VLOOKUP(O24,Population!A23:B70,2,0)</f>
        <v>2963914</v>
      </c>
      <c r="R24" s="10">
        <f t="shared" si="2"/>
        <v>36.356655422525755</v>
      </c>
      <c r="S24" s="11">
        <f>AVERAGEIFS(Table[Avg Annual Wage],Table[Industry],$B$3,Table[Year],$B$15,Table[State],O24)</f>
        <v>45573</v>
      </c>
      <c r="T24" s="12">
        <f t="shared" si="0"/>
        <v>-45573</v>
      </c>
    </row>
    <row r="25" spans="1:20" x14ac:dyDescent="0.3">
      <c r="O25" t="s">
        <v>23</v>
      </c>
      <c r="P25" s="1">
        <f>SUMIFS(Table[Employees],Table[Industry],$B$3,Table[Year],$B$15,Table[State],O25)</f>
        <v>365657</v>
      </c>
      <c r="Q25" s="1">
        <f>VLOOKUP(O25,Population!A24:B71,2,0)</f>
        <v>6126452</v>
      </c>
      <c r="R25" s="10">
        <f t="shared" si="2"/>
        <v>59.684953052762026</v>
      </c>
      <c r="S25" s="11">
        <f>AVERAGEIFS(Table[Avg Annual Wage],Table[Industry],$B$3,Table[Year],$B$15,Table[State],O25)</f>
        <v>72666</v>
      </c>
      <c r="T25" s="12">
        <f t="shared" si="0"/>
        <v>-72666</v>
      </c>
    </row>
    <row r="26" spans="1:20" x14ac:dyDescent="0.3">
      <c r="O26" t="s">
        <v>24</v>
      </c>
      <c r="P26" s="1">
        <f>SUMIFS(Table[Employees],Table[Industry],$B$3,Table[Year],$B$15,Table[State],O26)</f>
        <v>43549</v>
      </c>
      <c r="Q26" s="1">
        <f>VLOOKUP(O26,Population!A25:B72,2,0)</f>
        <v>1062305</v>
      </c>
      <c r="R26" s="10">
        <f t="shared" si="2"/>
        <v>40.994817872456586</v>
      </c>
      <c r="S26" s="11">
        <f>AVERAGEIFS(Table[Avg Annual Wage],Table[Industry],$B$3,Table[Year],$B$15,Table[State],O26)</f>
        <v>59785</v>
      </c>
      <c r="T26" s="12">
        <f t="shared" si="0"/>
        <v>-59785</v>
      </c>
    </row>
    <row r="27" spans="1:20" x14ac:dyDescent="0.3">
      <c r="O27" t="s">
        <v>25</v>
      </c>
      <c r="P27" s="1">
        <f>SUMIFS(Table[Employees],Table[Industry],$B$3,Table[Year],$B$15,Table[State],O27)</f>
        <v>117288</v>
      </c>
      <c r="Q27" s="1">
        <f>VLOOKUP(O27,Population!A26:B73,2,0)</f>
        <v>1929268</v>
      </c>
      <c r="R27" s="10">
        <f t="shared" si="2"/>
        <v>60.79404209264861</v>
      </c>
      <c r="S27" s="11">
        <f>AVERAGEIFS(Table[Avg Annual Wage],Table[Industry],$B$3,Table[Year],$B$15,Table[State],O27)</f>
        <v>65292</v>
      </c>
      <c r="T27" s="12">
        <f t="shared" si="0"/>
        <v>-65292</v>
      </c>
    </row>
    <row r="28" spans="1:20" x14ac:dyDescent="0.3">
      <c r="O28" t="s">
        <v>26</v>
      </c>
      <c r="P28" s="1">
        <f>SUMIFS(Table[Employees],Table[Industry],$B$3,Table[Year],$B$15,Table[State],O28)</f>
        <v>179092</v>
      </c>
      <c r="Q28" s="1">
        <f>VLOOKUP(O28,Population!A27:B74,2,0)</f>
        <v>3034392</v>
      </c>
      <c r="R28" s="10">
        <f t="shared" si="2"/>
        <v>59.020719801528607</v>
      </c>
      <c r="S28" s="11">
        <f>AVERAGEIFS(Table[Avg Annual Wage],Table[Industry],$B$3,Table[Year],$B$15,Table[State],O28)</f>
        <v>67081</v>
      </c>
      <c r="T28" s="12">
        <f t="shared" si="0"/>
        <v>-67081</v>
      </c>
    </row>
    <row r="29" spans="1:20" x14ac:dyDescent="0.3">
      <c r="O29" t="s">
        <v>27</v>
      </c>
      <c r="P29" s="1">
        <f>SUMIFS(Table[Employees],Table[Industry],$B$3,Table[Year],$B$15,Table[State],O29)</f>
        <v>81639</v>
      </c>
      <c r="Q29" s="1">
        <f>VLOOKUP(O29,Population!A28:B75,2,0)</f>
        <v>1356458</v>
      </c>
      <c r="R29" s="10">
        <f t="shared" si="2"/>
        <v>60.185424097170717</v>
      </c>
      <c r="S29" s="11">
        <f>AVERAGEIFS(Table[Avg Annual Wage],Table[Industry],$B$3,Table[Year],$B$15,Table[State],O29)</f>
        <v>88167</v>
      </c>
      <c r="T29" s="12">
        <f t="shared" si="0"/>
        <v>-88167</v>
      </c>
    </row>
    <row r="30" spans="1:20" x14ac:dyDescent="0.3">
      <c r="O30" t="s">
        <v>28</v>
      </c>
      <c r="P30" s="1">
        <f>SUMIFS(Table[Employees],Table[Industry],$B$3,Table[Year],$B$15,Table[State],O30)</f>
        <v>643507</v>
      </c>
      <c r="Q30" s="1">
        <f>VLOOKUP(O30,Population!A29:B76,2,0)</f>
        <v>8908520</v>
      </c>
      <c r="R30" s="10">
        <f t="shared" si="2"/>
        <v>72.235006488170868</v>
      </c>
      <c r="S30" s="11">
        <f>AVERAGEIFS(Table[Avg Annual Wage],Table[Industry],$B$3,Table[Year],$B$15,Table[State],O30)</f>
        <v>102666</v>
      </c>
      <c r="T30" s="12">
        <f t="shared" si="0"/>
        <v>-102666</v>
      </c>
    </row>
    <row r="31" spans="1:20" x14ac:dyDescent="0.3">
      <c r="O31" t="s">
        <v>29</v>
      </c>
      <c r="P31" s="1">
        <f>SUMIFS(Table[Employees],Table[Industry],$B$3,Table[Year],$B$15,Table[State],O31)</f>
        <v>107707</v>
      </c>
      <c r="Q31" s="1">
        <f>VLOOKUP(O31,Population!A30:B77,2,0)</f>
        <v>2095428</v>
      </c>
      <c r="R31" s="10">
        <f t="shared" si="2"/>
        <v>51.400954840729433</v>
      </c>
      <c r="S31" s="11">
        <f>AVERAGEIFS(Table[Avg Annual Wage],Table[Industry],$B$3,Table[Year],$B$15,Table[State],O31)</f>
        <v>69938</v>
      </c>
      <c r="T31" s="12">
        <f t="shared" si="0"/>
        <v>-69938</v>
      </c>
    </row>
    <row r="32" spans="1:20" x14ac:dyDescent="0.3">
      <c r="O32" t="s">
        <v>30</v>
      </c>
      <c r="P32" s="1">
        <f>SUMIFS(Table[Employees],Table[Industry],$B$3,Table[Year],$B$15,Table[State],O32)</f>
        <v>1242471</v>
      </c>
      <c r="Q32" s="1">
        <f>VLOOKUP(O32,Population!A31:B78,2,0)</f>
        <v>19542209</v>
      </c>
      <c r="R32" s="10">
        <f t="shared" si="2"/>
        <v>63.578841061417371</v>
      </c>
      <c r="S32" s="11">
        <f>AVERAGEIFS(Table[Avg Annual Wage],Table[Industry],$B$3,Table[Year],$B$15,Table[State],O32)</f>
        <v>109413</v>
      </c>
      <c r="T32" s="12">
        <f t="shared" si="0"/>
        <v>-109413</v>
      </c>
    </row>
    <row r="33" spans="15:20" x14ac:dyDescent="0.3">
      <c r="O33" t="s">
        <v>31</v>
      </c>
      <c r="P33" s="1">
        <f>SUMIFS(Table[Employees],Table[Industry],$B$3,Table[Year],$B$15,Table[State],O33)</f>
        <v>637719</v>
      </c>
      <c r="Q33" s="1">
        <f>VLOOKUP(O33,Population!A32:B79,2,0)</f>
        <v>10383620</v>
      </c>
      <c r="R33" s="10">
        <f t="shared" si="2"/>
        <v>61.415864602132977</v>
      </c>
      <c r="S33" s="11">
        <f>AVERAGEIFS(Table[Avg Annual Wage],Table[Industry],$B$3,Table[Year],$B$15,Table[State],O33)</f>
        <v>72078</v>
      </c>
      <c r="T33" s="12">
        <f t="shared" si="0"/>
        <v>-72078</v>
      </c>
    </row>
    <row r="34" spans="15:20" x14ac:dyDescent="0.3">
      <c r="O34" t="s">
        <v>32</v>
      </c>
      <c r="P34" s="1">
        <f>SUMIFS(Table[Employees],Table[Industry],$B$3,Table[Year],$B$15,Table[State],O34)</f>
        <v>31642</v>
      </c>
      <c r="Q34" s="1">
        <f>VLOOKUP(O34,Population!A33:B80,2,0)</f>
        <v>760077</v>
      </c>
      <c r="R34" s="10">
        <f t="shared" si="2"/>
        <v>41.629992750734466</v>
      </c>
      <c r="S34" s="11">
        <f>AVERAGEIFS(Table[Avg Annual Wage],Table[Industry],$B$3,Table[Year],$B$15,Table[State],O34)</f>
        <v>65877</v>
      </c>
      <c r="T34" s="12">
        <f t="shared" si="0"/>
        <v>-65877</v>
      </c>
    </row>
    <row r="35" spans="15:20" x14ac:dyDescent="0.3">
      <c r="O35" t="s">
        <v>33</v>
      </c>
      <c r="P35" s="1">
        <f>SUMIFS(Table[Employees],Table[Industry],$B$3,Table[Year],$B$15,Table[State],O35)</f>
        <v>697244</v>
      </c>
      <c r="Q35" s="1">
        <f>VLOOKUP(O35,Population!A34:B81,2,0)</f>
        <v>11689442</v>
      </c>
      <c r="R35" s="10">
        <f t="shared" si="2"/>
        <v>59.647329615904681</v>
      </c>
      <c r="S35" s="11">
        <f>AVERAGEIFS(Table[Avg Annual Wage],Table[Industry],$B$3,Table[Year],$B$15,Table[State],O35)</f>
        <v>71920</v>
      </c>
      <c r="T35" s="12">
        <f t="shared" si="0"/>
        <v>-71920</v>
      </c>
    </row>
    <row r="36" spans="15:20" x14ac:dyDescent="0.3">
      <c r="O36" t="s">
        <v>34</v>
      </c>
      <c r="P36" s="1">
        <f>SUMIFS(Table[Employees],Table[Industry],$B$3,Table[Year],$B$15,Table[State],O36)</f>
        <v>185307</v>
      </c>
      <c r="Q36" s="1">
        <f>VLOOKUP(O36,Population!A35:B82,2,0)</f>
        <v>3943079</v>
      </c>
      <c r="R36" s="10">
        <f t="shared" si="2"/>
        <v>46.995507825229978</v>
      </c>
      <c r="S36" s="11">
        <f>AVERAGEIFS(Table[Avg Annual Wage],Table[Industry],$B$3,Table[Year],$B$15,Table[State],O36)</f>
        <v>58539</v>
      </c>
      <c r="T36" s="12">
        <f t="shared" si="0"/>
        <v>-58539</v>
      </c>
    </row>
    <row r="37" spans="15:20" x14ac:dyDescent="0.3">
      <c r="O37" t="s">
        <v>35</v>
      </c>
      <c r="P37" s="1">
        <f>SUMIFS(Table[Employees],Table[Industry],$B$3,Table[Year],$B$15,Table[State],O37)</f>
        <v>242218</v>
      </c>
      <c r="Q37" s="1">
        <f>VLOOKUP(O37,Population!A36:B83,2,0)</f>
        <v>4190713</v>
      </c>
      <c r="R37" s="10">
        <f t="shared" si="2"/>
        <v>57.798756440729775</v>
      </c>
      <c r="S37" s="11">
        <f>AVERAGEIFS(Table[Avg Annual Wage],Table[Industry],$B$3,Table[Year],$B$15,Table[State],O37)</f>
        <v>81224</v>
      </c>
      <c r="T37" s="12">
        <f t="shared" si="0"/>
        <v>-81224</v>
      </c>
    </row>
    <row r="38" spans="15:20" x14ac:dyDescent="0.3">
      <c r="O38" t="s">
        <v>36</v>
      </c>
      <c r="P38" s="1">
        <f>SUMIFS(Table[Employees],Table[Industry],$B$3,Table[Year],$B$15,Table[State],O38)</f>
        <v>766122</v>
      </c>
      <c r="Q38" s="1">
        <f>VLOOKUP(O38,Population!A37:B84,2,0)</f>
        <v>12807060</v>
      </c>
      <c r="R38" s="10">
        <f t="shared" si="2"/>
        <v>59.820286623159411</v>
      </c>
      <c r="S38" s="11">
        <f>AVERAGEIFS(Table[Avg Annual Wage],Table[Industry],$B$3,Table[Year],$B$15,Table[State],O38)</f>
        <v>86971</v>
      </c>
      <c r="T38" s="12">
        <f t="shared" si="0"/>
        <v>-86971</v>
      </c>
    </row>
    <row r="39" spans="15:20" x14ac:dyDescent="0.3">
      <c r="O39" t="s">
        <v>37</v>
      </c>
      <c r="P39" s="1">
        <f>SUMIFS(Table[Employees],Table[Industry],$B$3,Table[Year],$B$15,Table[State],O39)</f>
        <v>65232</v>
      </c>
      <c r="Q39" s="1">
        <f>VLOOKUP(O39,Population!A38:B85,2,0)</f>
        <v>1057315</v>
      </c>
      <c r="R39" s="10">
        <f t="shared" si="2"/>
        <v>61.695899519064803</v>
      </c>
      <c r="S39" s="11">
        <f>AVERAGEIFS(Table[Avg Annual Wage],Table[Industry],$B$3,Table[Year],$B$15,Table[State],O39)</f>
        <v>75829</v>
      </c>
      <c r="T39" s="12">
        <f t="shared" si="0"/>
        <v>-75829</v>
      </c>
    </row>
    <row r="40" spans="15:20" x14ac:dyDescent="0.3">
      <c r="O40" t="s">
        <v>38</v>
      </c>
      <c r="P40" s="1">
        <f>SUMIFS(Table[Employees],Table[Industry],$B$3,Table[Year],$B$15,Table[State],O40)</f>
        <v>281874</v>
      </c>
      <c r="Q40" s="1">
        <f>VLOOKUP(O40,Population!A39:B86,2,0)</f>
        <v>5084127</v>
      </c>
      <c r="R40" s="10">
        <f t="shared" si="2"/>
        <v>55.441966732931732</v>
      </c>
      <c r="S40" s="11">
        <f>AVERAGEIFS(Table[Avg Annual Wage],Table[Industry],$B$3,Table[Year],$B$15,Table[State],O40)</f>
        <v>56907</v>
      </c>
      <c r="T40" s="12">
        <f t="shared" si="0"/>
        <v>-56907</v>
      </c>
    </row>
    <row r="41" spans="15:20" x14ac:dyDescent="0.3">
      <c r="O41" t="s">
        <v>39</v>
      </c>
      <c r="P41" s="1">
        <f>SUMIFS(Table[Employees],Table[Industry],$B$3,Table[Year],$B$15,Table[State],O41)</f>
        <v>32771</v>
      </c>
      <c r="Q41" s="1">
        <f>VLOOKUP(O41,Population!A40:B87,2,0)</f>
        <v>882235</v>
      </c>
      <c r="R41" s="10">
        <f t="shared" si="2"/>
        <v>37.145431772713621</v>
      </c>
      <c r="S41" s="11">
        <f>AVERAGEIFS(Table[Avg Annual Wage],Table[Industry],$B$3,Table[Year],$B$15,Table[State],O41)</f>
        <v>63709</v>
      </c>
      <c r="T41" s="12">
        <f t="shared" si="0"/>
        <v>-63709</v>
      </c>
    </row>
    <row r="42" spans="15:20" x14ac:dyDescent="0.3">
      <c r="O42" t="s">
        <v>40</v>
      </c>
      <c r="P42" s="1">
        <f>SUMIFS(Table[Employees],Table[Industry],$B$3,Table[Year],$B$15,Table[State],O42)</f>
        <v>414644</v>
      </c>
      <c r="Q42" s="1">
        <f>VLOOKUP(O42,Population!A41:B88,2,0)</f>
        <v>6770010</v>
      </c>
      <c r="R42" s="10">
        <f t="shared" si="2"/>
        <v>61.247176887478751</v>
      </c>
      <c r="S42" s="11">
        <f>AVERAGEIFS(Table[Avg Annual Wage],Table[Industry],$B$3,Table[Year],$B$15,Table[State],O42)</f>
        <v>66460</v>
      </c>
      <c r="T42" s="12">
        <f t="shared" si="0"/>
        <v>-66460</v>
      </c>
    </row>
    <row r="43" spans="15:20" x14ac:dyDescent="0.3">
      <c r="O43" t="s">
        <v>41</v>
      </c>
      <c r="P43" s="1">
        <f>SUMIFS(Table[Employees],Table[Industry],$B$3,Table[Year],$B$15,Table[State],O43)</f>
        <v>1758991</v>
      </c>
      <c r="Q43" s="1">
        <f>VLOOKUP(O43,Population!A42:B89,2,0)</f>
        <v>28701845</v>
      </c>
      <c r="R43" s="10">
        <f t="shared" si="2"/>
        <v>61.2849452709399</v>
      </c>
      <c r="S43" s="11">
        <f>AVERAGEIFS(Table[Avg Annual Wage],Table[Industry],$B$3,Table[Year],$B$15,Table[State],O43)</f>
        <v>81123</v>
      </c>
      <c r="T43" s="12">
        <f t="shared" si="0"/>
        <v>-81123</v>
      </c>
    </row>
    <row r="44" spans="15:20" x14ac:dyDescent="0.3">
      <c r="O44" t="s">
        <v>42</v>
      </c>
      <c r="P44" s="1">
        <f>SUMIFS(Table[Employees],Table[Industry],$B$3,Table[Year],$B$15,Table[State],O44)</f>
        <v>223284</v>
      </c>
      <c r="Q44" s="1">
        <f>VLOOKUP(O44,Population!A43:B90,2,0)</f>
        <v>3161105</v>
      </c>
      <c r="R44" s="10">
        <f t="shared" si="2"/>
        <v>70.634793845822898</v>
      </c>
      <c r="S44" s="11">
        <f>AVERAGEIFS(Table[Avg Annual Wage],Table[Industry],$B$3,Table[Year],$B$15,Table[State],O44)</f>
        <v>68355</v>
      </c>
      <c r="T44" s="12">
        <f t="shared" si="0"/>
        <v>-68355</v>
      </c>
    </row>
    <row r="45" spans="15:20" x14ac:dyDescent="0.3">
      <c r="O45" t="s">
        <v>43</v>
      </c>
      <c r="P45" s="1">
        <f>SUMIFS(Table[Employees],Table[Industry],$B$3,Table[Year],$B$15,Table[State],O45)</f>
        <v>28512</v>
      </c>
      <c r="Q45" s="1">
        <f>VLOOKUP(O45,Population!A44:B91,2,0)</f>
        <v>626299</v>
      </c>
      <c r="R45" s="10">
        <f t="shared" si="2"/>
        <v>45.524581709375234</v>
      </c>
      <c r="S45" s="11">
        <f>AVERAGEIFS(Table[Avg Annual Wage],Table[Industry],$B$3,Table[Year],$B$15,Table[State],O45)</f>
        <v>74442</v>
      </c>
      <c r="T45" s="12">
        <f t="shared" si="0"/>
        <v>-74442</v>
      </c>
    </row>
    <row r="46" spans="15:20" x14ac:dyDescent="0.3">
      <c r="O46" t="s">
        <v>44</v>
      </c>
      <c r="P46" s="1">
        <f>SUMIFS(Table[Employees],Table[Industry],$B$3,Table[Year],$B$15,Table[State],O46)</f>
        <v>752090</v>
      </c>
      <c r="Q46" s="1">
        <f>VLOOKUP(O46,Population!A45:B92,2,0)</f>
        <v>8517685</v>
      </c>
      <c r="R46" s="10">
        <f t="shared" si="2"/>
        <v>88.297465802034239</v>
      </c>
      <c r="S46" s="11">
        <f>AVERAGEIFS(Table[Avg Annual Wage],Table[Industry],$B$3,Table[Year],$B$15,Table[State],O46)</f>
        <v>96046</v>
      </c>
      <c r="T46" s="12">
        <f t="shared" si="0"/>
        <v>-96046</v>
      </c>
    </row>
    <row r="47" spans="15:20" x14ac:dyDescent="0.3">
      <c r="O47" t="s">
        <v>45</v>
      </c>
      <c r="P47" s="1">
        <f>SUMIFS(Table[Employees],Table[Industry],$B$3,Table[Year],$B$15,Table[State],O47)</f>
        <v>415190</v>
      </c>
      <c r="Q47" s="1">
        <f>VLOOKUP(O47,Population!A46:B93,2,0)</f>
        <v>7614893</v>
      </c>
      <c r="R47" s="10">
        <f t="shared" si="2"/>
        <v>54.523418779489091</v>
      </c>
      <c r="S47" s="11">
        <f>AVERAGEIFS(Table[Avg Annual Wage],Table[Industry],$B$3,Table[Year],$B$15,Table[State],O47)</f>
        <v>92279</v>
      </c>
      <c r="T47" s="12">
        <f t="shared" si="0"/>
        <v>-92279</v>
      </c>
    </row>
    <row r="48" spans="15:20" x14ac:dyDescent="0.3">
      <c r="O48" t="s">
        <v>46</v>
      </c>
      <c r="P48" s="1">
        <f>SUMIFS(Table[Employees],Table[Industry],$B$3,Table[Year],$B$15,Table[State],O48)</f>
        <v>65715</v>
      </c>
      <c r="Q48" s="1">
        <f>VLOOKUP(O48,Population!A47:B94,2,0)</f>
        <v>1805832</v>
      </c>
      <c r="R48" s="10">
        <f t="shared" si="2"/>
        <v>36.390428345493937</v>
      </c>
      <c r="S48" s="11">
        <f>AVERAGEIFS(Table[Avg Annual Wage],Table[Industry],$B$3,Table[Year],$B$15,Table[State],O48)</f>
        <v>53557</v>
      </c>
      <c r="T48" s="12">
        <f t="shared" si="0"/>
        <v>-53557</v>
      </c>
    </row>
    <row r="49" spans="15:20" x14ac:dyDescent="0.3">
      <c r="O49" t="s">
        <v>47</v>
      </c>
      <c r="P49" s="1">
        <f>SUMIFS(Table[Employees],Table[Industry],$B$3,Table[Year],$B$15,Table[State],O49)</f>
        <v>309780</v>
      </c>
      <c r="Q49" s="1">
        <f>VLOOKUP(O49,Population!A48:B95,2,0)</f>
        <v>5813568</v>
      </c>
      <c r="R49" s="10">
        <f t="shared" si="2"/>
        <v>53.285693054592294</v>
      </c>
      <c r="S49" s="11">
        <f>AVERAGEIFS(Table[Avg Annual Wage],Table[Industry],$B$3,Table[Year],$B$15,Table[State],O49)</f>
        <v>67254</v>
      </c>
      <c r="T49" s="12">
        <f t="shared" si="0"/>
        <v>-67254</v>
      </c>
    </row>
    <row r="50" spans="15:20" x14ac:dyDescent="0.3">
      <c r="O50" t="s">
        <v>48</v>
      </c>
      <c r="P50" s="1">
        <f>SUMIFS(Table[Employees],Table[Industry],$B$3,Table[Year],$B$15,Table[State],O50)</f>
        <v>18382</v>
      </c>
      <c r="Q50" s="1">
        <f>VLOOKUP(O50,Population!A49:B96,2,0)</f>
        <v>577737</v>
      </c>
      <c r="R50" s="10">
        <f t="shared" si="2"/>
        <v>31.817245563292644</v>
      </c>
      <c r="S50" s="11">
        <f>AVERAGEIFS(Table[Avg Annual Wage],Table[Industry],$B$3,Table[Year],$B$15,Table[State],O50)</f>
        <v>60233</v>
      </c>
      <c r="T50" s="12">
        <f t="shared" si="0"/>
        <v>-60233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B5DC-6FB0-4A54-A656-778DFB130CE1}">
  <dimension ref="A1:Q36"/>
  <sheetViews>
    <sheetView showGridLines="0" showRowColHeaders="0" tabSelected="1" zoomScaleNormal="100" workbookViewId="0">
      <selection activeCell="Q36" sqref="Q36"/>
    </sheetView>
  </sheetViews>
  <sheetFormatPr defaultColWidth="0" defaultRowHeight="14.4" zeroHeight="1" x14ac:dyDescent="0.3"/>
  <cols>
    <col min="1" max="1" width="8.33203125" customWidth="1"/>
    <col min="2" max="2" width="45.6640625" bestFit="1" customWidth="1"/>
    <col min="3" max="10" width="8.88671875" customWidth="1"/>
    <col min="11" max="11" width="8.77734375" customWidth="1"/>
    <col min="12" max="12" width="8.88671875" hidden="1" customWidth="1"/>
    <col min="13" max="13" width="35.77734375" bestFit="1" customWidth="1"/>
    <col min="14" max="16" width="8.88671875" customWidth="1"/>
    <col min="17" max="17" width="10.33203125" customWidth="1"/>
    <col min="18" max="16384" width="8.88671875" hidden="1"/>
  </cols>
  <sheetData>
    <row r="1" spans="1:2" x14ac:dyDescent="0.3">
      <c r="A1" s="15">
        <v>8</v>
      </c>
    </row>
    <row r="2" spans="1:2" x14ac:dyDescent="0.3">
      <c r="A2" s="15">
        <v>1</v>
      </c>
    </row>
    <row r="3" spans="1:2" x14ac:dyDescent="0.3">
      <c r="A3" s="16"/>
    </row>
    <row r="4" spans="1:2" x14ac:dyDescent="0.3"/>
    <row r="5" spans="1:2" ht="17.399999999999999" customHeight="1" x14ac:dyDescent="0.3"/>
    <row r="6" spans="1:2" ht="29.4" x14ac:dyDescent="0.3">
      <c r="B6" s="13" t="str">
        <f>INDEX('Data Prep'!D3:D12,11-Dashboard!A1)</f>
        <v>Business Services</v>
      </c>
    </row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</sheetData>
  <sheetProtection sheet="1" objects="1" scenarios="1" selectLockedCells="1" selectUn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Spinner 5">
              <controlPr defaultSize="0" autoPict="0">
                <anchor moveWithCells="1" sizeWithCells="1">
                  <from>
                    <xdr:col>2</xdr:col>
                    <xdr:colOff>7620</xdr:colOff>
                    <xdr:row>5</xdr:row>
                    <xdr:rowOff>0</xdr:rowOff>
                  </from>
                  <to>
                    <xdr:col>2</xdr:col>
                    <xdr:colOff>304800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4" name="Option Button 7">
              <controlPr defaultSize="0" autoFill="0" autoLine="0" autoPict="0">
                <anchor moveWithCells="1">
                  <from>
                    <xdr:col>10</xdr:col>
                    <xdr:colOff>548640</xdr:colOff>
                    <xdr:row>7</xdr:row>
                    <xdr:rowOff>121920</xdr:rowOff>
                  </from>
                  <to>
                    <xdr:col>12</xdr:col>
                    <xdr:colOff>975360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5" name="Option Button 8">
              <controlPr defaultSize="0" autoFill="0" autoLine="0" autoPict="0">
                <anchor moveWithCells="1">
                  <from>
                    <xdr:col>12</xdr:col>
                    <xdr:colOff>2072640</xdr:colOff>
                    <xdr:row>7</xdr:row>
                    <xdr:rowOff>152400</xdr:rowOff>
                  </from>
                  <to>
                    <xdr:col>15</xdr:col>
                    <xdr:colOff>190500</xdr:colOff>
                    <xdr:row>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Gokul Raj</cp:lastModifiedBy>
  <dcterms:created xsi:type="dcterms:W3CDTF">2021-09-21T20:47:02Z</dcterms:created>
  <dcterms:modified xsi:type="dcterms:W3CDTF">2026-03-15T09:58:55Z</dcterms:modified>
</cp:coreProperties>
</file>